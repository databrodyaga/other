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man_yakovlev/Documents/LemonPie/forecast_payments/second_try(real_data)/training_models/"/>
    </mc:Choice>
  </mc:AlternateContent>
  <xr:revisionPtr revIDLastSave="0" documentId="13_ncr:1_{A9E127E6-2946-1A41-9D7A-67504A7D0B45}" xr6:coauthVersionLast="47" xr6:coauthVersionMax="47" xr10:uidLastSave="{00000000-0000-0000-0000-000000000000}"/>
  <bookViews>
    <workbookView xWindow="1300" yWindow="1200" windowWidth="32900" windowHeight="20380" activeTab="8" xr2:uid="{0CF7782D-1B58-5C4A-8666-7EA956F3F4AA}"/>
  </bookViews>
  <sheets>
    <sheet name="comparison" sheetId="2" r:id="rId1"/>
    <sheet name="all_features" sheetId="1" r:id="rId2"/>
    <sheet name="feature_set_1" sheetId="3" r:id="rId3"/>
    <sheet name="feature_set_2" sheetId="4" r:id="rId4"/>
    <sheet name="feature_set_3" sheetId="5" r:id="rId5"/>
    <sheet name="feature_set_2+3" sheetId="6" r:id="rId6"/>
    <sheet name="feature_set_4" sheetId="8" r:id="rId7"/>
    <sheet name="feature_set_5" sheetId="9" r:id="rId8"/>
    <sheet name="feature_set_6" sheetId="10" r:id="rId9"/>
    <sheet name="feature_set_7" sheetId="11" r:id="rId10"/>
    <sheet name="feature_set_8" sheetId="12" r:id="rId11"/>
    <sheet name="comparison_normalized" sheetId="7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0" i="5" l="1"/>
  <c r="B39" i="5"/>
  <c r="B70" i="12"/>
  <c r="B40" i="12"/>
  <c r="C40" i="12"/>
  <c r="D40" i="12"/>
  <c r="E40" i="12"/>
  <c r="E70" i="12" s="1"/>
  <c r="F40" i="12"/>
  <c r="G40" i="12"/>
  <c r="H40" i="12"/>
  <c r="I40" i="12"/>
  <c r="J40" i="12"/>
  <c r="K40" i="12"/>
  <c r="L40" i="12"/>
  <c r="M40" i="12"/>
  <c r="N40" i="12"/>
  <c r="O40" i="12"/>
  <c r="P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B46" i="12"/>
  <c r="C46" i="12"/>
  <c r="D46" i="12"/>
  <c r="E46" i="12"/>
  <c r="F46" i="12"/>
  <c r="G46" i="12"/>
  <c r="H46" i="12"/>
  <c r="I46" i="12"/>
  <c r="J46" i="12"/>
  <c r="K46" i="12"/>
  <c r="L46" i="12"/>
  <c r="M46" i="12"/>
  <c r="N46" i="12"/>
  <c r="O46" i="12"/>
  <c r="P46" i="12"/>
  <c r="B47" i="12"/>
  <c r="C47" i="12"/>
  <c r="D47" i="12"/>
  <c r="E47" i="12"/>
  <c r="F47" i="12"/>
  <c r="G47" i="12"/>
  <c r="H47" i="12"/>
  <c r="I47" i="12"/>
  <c r="J47" i="12"/>
  <c r="K47" i="12"/>
  <c r="L47" i="12"/>
  <c r="M47" i="12"/>
  <c r="N47" i="12"/>
  <c r="O47" i="12"/>
  <c r="P47" i="12"/>
  <c r="B48" i="12"/>
  <c r="C48" i="12"/>
  <c r="D48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B49" i="12"/>
  <c r="C49" i="12"/>
  <c r="D49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B50" i="12"/>
  <c r="C50" i="12"/>
  <c r="D50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B51" i="12"/>
  <c r="C51" i="12"/>
  <c r="D51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B52" i="12"/>
  <c r="C52" i="12"/>
  <c r="D52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B53" i="12"/>
  <c r="C53" i="12"/>
  <c r="D53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B54" i="12"/>
  <c r="C54" i="12"/>
  <c r="D54" i="12"/>
  <c r="E54" i="12"/>
  <c r="F54" i="12"/>
  <c r="G54" i="12"/>
  <c r="H54" i="12"/>
  <c r="I54" i="12"/>
  <c r="J54" i="12"/>
  <c r="K54" i="12"/>
  <c r="L54" i="12"/>
  <c r="M54" i="12"/>
  <c r="N54" i="12"/>
  <c r="O54" i="12"/>
  <c r="P54" i="12"/>
  <c r="B55" i="12"/>
  <c r="C55" i="12"/>
  <c r="D55" i="12"/>
  <c r="E55" i="12"/>
  <c r="F55" i="12"/>
  <c r="G55" i="12"/>
  <c r="H55" i="12"/>
  <c r="I55" i="12"/>
  <c r="J55" i="12"/>
  <c r="K55" i="12"/>
  <c r="L55" i="12"/>
  <c r="M55" i="12"/>
  <c r="N55" i="12"/>
  <c r="O55" i="12"/>
  <c r="P55" i="12"/>
  <c r="B56" i="12"/>
  <c r="C56" i="12"/>
  <c r="D56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B57" i="12"/>
  <c r="C57" i="12"/>
  <c r="D57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B58" i="12"/>
  <c r="C58" i="12"/>
  <c r="D58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B59" i="12"/>
  <c r="C59" i="12"/>
  <c r="D59" i="12"/>
  <c r="E59" i="12"/>
  <c r="F59" i="12"/>
  <c r="G59" i="12"/>
  <c r="H59" i="12"/>
  <c r="I59" i="12"/>
  <c r="J59" i="12"/>
  <c r="K59" i="12"/>
  <c r="L59" i="12"/>
  <c r="M59" i="12"/>
  <c r="N59" i="12"/>
  <c r="O59" i="12"/>
  <c r="P59" i="12"/>
  <c r="B60" i="12"/>
  <c r="C60" i="12"/>
  <c r="D60" i="12"/>
  <c r="E60" i="12"/>
  <c r="F60" i="12"/>
  <c r="G60" i="12"/>
  <c r="H60" i="12"/>
  <c r="I60" i="12"/>
  <c r="J60" i="12"/>
  <c r="K60" i="12"/>
  <c r="L60" i="12"/>
  <c r="M60" i="12"/>
  <c r="N60" i="12"/>
  <c r="O60" i="12"/>
  <c r="P60" i="12"/>
  <c r="B61" i="12"/>
  <c r="C61" i="12"/>
  <c r="D61" i="12"/>
  <c r="E61" i="12"/>
  <c r="F61" i="12"/>
  <c r="G61" i="12"/>
  <c r="H61" i="12"/>
  <c r="I61" i="12"/>
  <c r="J61" i="12"/>
  <c r="K61" i="12"/>
  <c r="L61" i="12"/>
  <c r="M61" i="12"/>
  <c r="N61" i="12"/>
  <c r="O61" i="12"/>
  <c r="P61" i="12"/>
  <c r="B62" i="12"/>
  <c r="C62" i="12"/>
  <c r="D62" i="12"/>
  <c r="E62" i="12"/>
  <c r="F62" i="12"/>
  <c r="G62" i="12"/>
  <c r="H62" i="12"/>
  <c r="I62" i="12"/>
  <c r="J62" i="12"/>
  <c r="K62" i="12"/>
  <c r="L62" i="12"/>
  <c r="M62" i="12"/>
  <c r="N62" i="12"/>
  <c r="O62" i="12"/>
  <c r="P62" i="12"/>
  <c r="B63" i="12"/>
  <c r="C63" i="12"/>
  <c r="D63" i="12"/>
  <c r="E63" i="12"/>
  <c r="F63" i="12"/>
  <c r="G63" i="12"/>
  <c r="H63" i="12"/>
  <c r="I63" i="12"/>
  <c r="J63" i="12"/>
  <c r="K63" i="12"/>
  <c r="L63" i="12"/>
  <c r="M63" i="12"/>
  <c r="N63" i="12"/>
  <c r="O63" i="12"/>
  <c r="P63" i="12"/>
  <c r="B64" i="12"/>
  <c r="C64" i="12"/>
  <c r="D64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B65" i="12"/>
  <c r="C65" i="12"/>
  <c r="D65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B66" i="12"/>
  <c r="C66" i="12"/>
  <c r="D66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B67" i="12"/>
  <c r="C67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B68" i="12"/>
  <c r="C68" i="12"/>
  <c r="D68" i="12"/>
  <c r="E68" i="12"/>
  <c r="F68" i="12"/>
  <c r="G68" i="12"/>
  <c r="H68" i="12"/>
  <c r="I68" i="12"/>
  <c r="J68" i="12"/>
  <c r="K68" i="12"/>
  <c r="L68" i="12"/>
  <c r="M68" i="12"/>
  <c r="N68" i="12"/>
  <c r="O68" i="12"/>
  <c r="P68" i="12"/>
  <c r="B69" i="12"/>
  <c r="C69" i="12"/>
  <c r="D69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N39" i="12"/>
  <c r="M39" i="12"/>
  <c r="M70" i="12" s="1"/>
  <c r="C39" i="12"/>
  <c r="B39" i="12"/>
  <c r="P39" i="12"/>
  <c r="O39" i="12"/>
  <c r="L39" i="12"/>
  <c r="L70" i="12" s="1"/>
  <c r="K39" i="12"/>
  <c r="K70" i="12" s="1"/>
  <c r="J39" i="12"/>
  <c r="I39" i="12"/>
  <c r="H39" i="12"/>
  <c r="G39" i="12"/>
  <c r="F39" i="12"/>
  <c r="E39" i="12"/>
  <c r="D39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B41" i="11"/>
  <c r="C41" i="11"/>
  <c r="D41" i="11"/>
  <c r="E41" i="11"/>
  <c r="F41" i="11"/>
  <c r="G41" i="11"/>
  <c r="G72" i="11" s="1"/>
  <c r="H41" i="11"/>
  <c r="H72" i="11" s="1"/>
  <c r="I41" i="11"/>
  <c r="J41" i="11"/>
  <c r="K41" i="11"/>
  <c r="L41" i="11"/>
  <c r="M41" i="11"/>
  <c r="N41" i="11"/>
  <c r="O41" i="11"/>
  <c r="P41" i="11"/>
  <c r="B42" i="11"/>
  <c r="B72" i="11" s="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B44" i="11"/>
  <c r="C44" i="11"/>
  <c r="D44" i="11"/>
  <c r="D72" i="11" s="1"/>
  <c r="E44" i="11"/>
  <c r="F44" i="11"/>
  <c r="G44" i="11"/>
  <c r="H44" i="11"/>
  <c r="I44" i="11"/>
  <c r="J44" i="11"/>
  <c r="K44" i="11"/>
  <c r="L44" i="11"/>
  <c r="L72" i="11" s="1"/>
  <c r="M44" i="11"/>
  <c r="N44" i="11"/>
  <c r="O44" i="11"/>
  <c r="P44" i="11"/>
  <c r="B45" i="11"/>
  <c r="C45" i="11"/>
  <c r="D45" i="11"/>
  <c r="E45" i="11"/>
  <c r="E72" i="11" s="1"/>
  <c r="F45" i="11"/>
  <c r="G45" i="11"/>
  <c r="H45" i="11"/>
  <c r="I45" i="11"/>
  <c r="J45" i="11"/>
  <c r="K45" i="11"/>
  <c r="L45" i="11"/>
  <c r="M45" i="11"/>
  <c r="M72" i="11" s="1"/>
  <c r="N45" i="11"/>
  <c r="O45" i="11"/>
  <c r="P45" i="11"/>
  <c r="B46" i="11"/>
  <c r="C46" i="11"/>
  <c r="D46" i="11"/>
  <c r="E46" i="11"/>
  <c r="F46" i="11"/>
  <c r="F72" i="11" s="1"/>
  <c r="G46" i="11"/>
  <c r="H46" i="11"/>
  <c r="I46" i="11"/>
  <c r="J46" i="11"/>
  <c r="K46" i="11"/>
  <c r="L46" i="11"/>
  <c r="M46" i="11"/>
  <c r="N46" i="11"/>
  <c r="O46" i="11"/>
  <c r="P46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O72" i="11" s="1"/>
  <c r="P57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P72" i="11" s="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N72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B34" i="11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B55" i="7"/>
  <c r="B40" i="10"/>
  <c r="C40" i="10"/>
  <c r="D40" i="10"/>
  <c r="E40" i="10"/>
  <c r="F40" i="10"/>
  <c r="G40" i="10"/>
  <c r="G71" i="10" s="1"/>
  <c r="H40" i="10"/>
  <c r="I40" i="10"/>
  <c r="J40" i="10"/>
  <c r="K40" i="10"/>
  <c r="L40" i="10"/>
  <c r="M40" i="10"/>
  <c r="N40" i="10"/>
  <c r="O40" i="10"/>
  <c r="O71" i="10" s="1"/>
  <c r="P40" i="10"/>
  <c r="P71" i="10" s="1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P39" i="10"/>
  <c r="O39" i="10"/>
  <c r="M39" i="10"/>
  <c r="M71" i="10" s="1"/>
  <c r="L39" i="10"/>
  <c r="L71" i="10" s="1"/>
  <c r="J39" i="10"/>
  <c r="J71" i="10" s="1"/>
  <c r="I39" i="10"/>
  <c r="I71" i="10" s="1"/>
  <c r="G39" i="10"/>
  <c r="F39" i="10"/>
  <c r="F71" i="10" s="1"/>
  <c r="D39" i="10"/>
  <c r="D71" i="10" s="1"/>
  <c r="C39" i="10"/>
  <c r="C71" i="10" s="1"/>
  <c r="N39" i="10"/>
  <c r="N71" i="10" s="1"/>
  <c r="K39" i="10"/>
  <c r="K71" i="10" s="1"/>
  <c r="H39" i="10"/>
  <c r="H71" i="10" s="1"/>
  <c r="E39" i="10"/>
  <c r="E71" i="10" s="1"/>
  <c r="B39" i="10"/>
  <c r="B71" i="10" s="1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B34" i="10"/>
  <c r="C72" i="9"/>
  <c r="D72" i="9"/>
  <c r="E72" i="9"/>
  <c r="F72" i="9"/>
  <c r="G72" i="9"/>
  <c r="H72" i="9"/>
  <c r="I72" i="9"/>
  <c r="J72" i="9"/>
  <c r="K72" i="9"/>
  <c r="L72" i="9"/>
  <c r="M72" i="9"/>
  <c r="N72" i="9"/>
  <c r="O72" i="9"/>
  <c r="P72" i="9"/>
  <c r="B72" i="9"/>
  <c r="B41" i="9"/>
  <c r="C41" i="9"/>
  <c r="D41" i="9"/>
  <c r="E41" i="9"/>
  <c r="F41" i="9"/>
  <c r="G41" i="9"/>
  <c r="H41" i="9"/>
  <c r="I41" i="9"/>
  <c r="J41" i="9"/>
  <c r="K41" i="9"/>
  <c r="L41" i="9"/>
  <c r="M41" i="9"/>
  <c r="N41" i="9"/>
  <c r="O41" i="9"/>
  <c r="P41" i="9"/>
  <c r="B42" i="9"/>
  <c r="C42" i="9"/>
  <c r="D42" i="9"/>
  <c r="E42" i="9"/>
  <c r="F42" i="9"/>
  <c r="G42" i="9"/>
  <c r="H42" i="9"/>
  <c r="I42" i="9"/>
  <c r="J42" i="9"/>
  <c r="K42" i="9"/>
  <c r="L42" i="9"/>
  <c r="M42" i="9"/>
  <c r="N42" i="9"/>
  <c r="O42" i="9"/>
  <c r="P42" i="9"/>
  <c r="B43" i="9"/>
  <c r="C43" i="9"/>
  <c r="D43" i="9"/>
  <c r="E43" i="9"/>
  <c r="F43" i="9"/>
  <c r="G43" i="9"/>
  <c r="H43" i="9"/>
  <c r="I43" i="9"/>
  <c r="J43" i="9"/>
  <c r="K43" i="9"/>
  <c r="L43" i="9"/>
  <c r="M43" i="9"/>
  <c r="N43" i="9"/>
  <c r="O43" i="9"/>
  <c r="P43" i="9"/>
  <c r="B44" i="9"/>
  <c r="C44" i="9"/>
  <c r="D44" i="9"/>
  <c r="E44" i="9"/>
  <c r="F44" i="9"/>
  <c r="G44" i="9"/>
  <c r="H44" i="9"/>
  <c r="I44" i="9"/>
  <c r="J44" i="9"/>
  <c r="K44" i="9"/>
  <c r="L44" i="9"/>
  <c r="M44" i="9"/>
  <c r="N44" i="9"/>
  <c r="O44" i="9"/>
  <c r="P44" i="9"/>
  <c r="B45" i="9"/>
  <c r="C45" i="9"/>
  <c r="D45" i="9"/>
  <c r="E45" i="9"/>
  <c r="F45" i="9"/>
  <c r="G45" i="9"/>
  <c r="H45" i="9"/>
  <c r="I45" i="9"/>
  <c r="J45" i="9"/>
  <c r="K45" i="9"/>
  <c r="L45" i="9"/>
  <c r="M45" i="9"/>
  <c r="N45" i="9"/>
  <c r="O45" i="9"/>
  <c r="P45" i="9"/>
  <c r="B46" i="9"/>
  <c r="C46" i="9"/>
  <c r="D46" i="9"/>
  <c r="E46" i="9"/>
  <c r="F46" i="9"/>
  <c r="G46" i="9"/>
  <c r="H46" i="9"/>
  <c r="I46" i="9"/>
  <c r="J46" i="9"/>
  <c r="K46" i="9"/>
  <c r="L46" i="9"/>
  <c r="M46" i="9"/>
  <c r="N46" i="9"/>
  <c r="O46" i="9"/>
  <c r="P46" i="9"/>
  <c r="B47" i="9"/>
  <c r="C47" i="9"/>
  <c r="D47" i="9"/>
  <c r="E47" i="9"/>
  <c r="F47" i="9"/>
  <c r="G47" i="9"/>
  <c r="H47" i="9"/>
  <c r="I47" i="9"/>
  <c r="J47" i="9"/>
  <c r="K47" i="9"/>
  <c r="L47" i="9"/>
  <c r="M47" i="9"/>
  <c r="N47" i="9"/>
  <c r="O47" i="9"/>
  <c r="P47" i="9"/>
  <c r="B48" i="9"/>
  <c r="C48" i="9"/>
  <c r="D48" i="9"/>
  <c r="E48" i="9"/>
  <c r="F48" i="9"/>
  <c r="G48" i="9"/>
  <c r="H48" i="9"/>
  <c r="I48" i="9"/>
  <c r="J48" i="9"/>
  <c r="K48" i="9"/>
  <c r="L48" i="9"/>
  <c r="M48" i="9"/>
  <c r="N48" i="9"/>
  <c r="O48" i="9"/>
  <c r="P48" i="9"/>
  <c r="B49" i="9"/>
  <c r="C49" i="9"/>
  <c r="D49" i="9"/>
  <c r="E49" i="9"/>
  <c r="F49" i="9"/>
  <c r="G49" i="9"/>
  <c r="H49" i="9"/>
  <c r="I49" i="9"/>
  <c r="J49" i="9"/>
  <c r="K49" i="9"/>
  <c r="L49" i="9"/>
  <c r="M49" i="9"/>
  <c r="N49" i="9"/>
  <c r="O49" i="9"/>
  <c r="P49" i="9"/>
  <c r="B50" i="9"/>
  <c r="C50" i="9"/>
  <c r="D50" i="9"/>
  <c r="E50" i="9"/>
  <c r="F50" i="9"/>
  <c r="G50" i="9"/>
  <c r="H50" i="9"/>
  <c r="I50" i="9"/>
  <c r="J50" i="9"/>
  <c r="K50" i="9"/>
  <c r="L50" i="9"/>
  <c r="M50" i="9"/>
  <c r="N50" i="9"/>
  <c r="O50" i="9"/>
  <c r="P50" i="9"/>
  <c r="B51" i="9"/>
  <c r="C51" i="9"/>
  <c r="D51" i="9"/>
  <c r="E51" i="9"/>
  <c r="F51" i="9"/>
  <c r="G51" i="9"/>
  <c r="H51" i="9"/>
  <c r="I51" i="9"/>
  <c r="J51" i="9"/>
  <c r="K51" i="9"/>
  <c r="L51" i="9"/>
  <c r="M51" i="9"/>
  <c r="N51" i="9"/>
  <c r="O51" i="9"/>
  <c r="P51" i="9"/>
  <c r="B52" i="9"/>
  <c r="C52" i="9"/>
  <c r="D52" i="9"/>
  <c r="E52" i="9"/>
  <c r="F52" i="9"/>
  <c r="G52" i="9"/>
  <c r="H52" i="9"/>
  <c r="I52" i="9"/>
  <c r="J52" i="9"/>
  <c r="K52" i="9"/>
  <c r="L52" i="9"/>
  <c r="M52" i="9"/>
  <c r="N52" i="9"/>
  <c r="O52" i="9"/>
  <c r="P52" i="9"/>
  <c r="B53" i="9"/>
  <c r="C53" i="9"/>
  <c r="D53" i="9"/>
  <c r="E53" i="9"/>
  <c r="F53" i="9"/>
  <c r="G53" i="9"/>
  <c r="H53" i="9"/>
  <c r="I53" i="9"/>
  <c r="J53" i="9"/>
  <c r="K53" i="9"/>
  <c r="L53" i="9"/>
  <c r="M53" i="9"/>
  <c r="N53" i="9"/>
  <c r="O53" i="9"/>
  <c r="P53" i="9"/>
  <c r="B54" i="9"/>
  <c r="C54" i="9"/>
  <c r="D54" i="9"/>
  <c r="E54" i="9"/>
  <c r="F54" i="9"/>
  <c r="G54" i="9"/>
  <c r="H54" i="9"/>
  <c r="I54" i="9"/>
  <c r="J54" i="9"/>
  <c r="K54" i="9"/>
  <c r="L54" i="9"/>
  <c r="M54" i="9"/>
  <c r="N54" i="9"/>
  <c r="O54" i="9"/>
  <c r="P54" i="9"/>
  <c r="B55" i="9"/>
  <c r="C55" i="9"/>
  <c r="D55" i="9"/>
  <c r="E55" i="9"/>
  <c r="F55" i="9"/>
  <c r="G55" i="9"/>
  <c r="H55" i="9"/>
  <c r="I55" i="9"/>
  <c r="J55" i="9"/>
  <c r="K55" i="9"/>
  <c r="L55" i="9"/>
  <c r="M55" i="9"/>
  <c r="N55" i="9"/>
  <c r="O55" i="9"/>
  <c r="P55" i="9"/>
  <c r="B56" i="9"/>
  <c r="C56" i="9"/>
  <c r="D56" i="9"/>
  <c r="E56" i="9"/>
  <c r="F56" i="9"/>
  <c r="G56" i="9"/>
  <c r="H56" i="9"/>
  <c r="I56" i="9"/>
  <c r="J56" i="9"/>
  <c r="K56" i="9"/>
  <c r="L56" i="9"/>
  <c r="M56" i="9"/>
  <c r="N56" i="9"/>
  <c r="O56" i="9"/>
  <c r="P56" i="9"/>
  <c r="B57" i="9"/>
  <c r="C57" i="9"/>
  <c r="D57" i="9"/>
  <c r="E57" i="9"/>
  <c r="F57" i="9"/>
  <c r="G57" i="9"/>
  <c r="H57" i="9"/>
  <c r="I57" i="9"/>
  <c r="J57" i="9"/>
  <c r="K57" i="9"/>
  <c r="L57" i="9"/>
  <c r="M57" i="9"/>
  <c r="N57" i="9"/>
  <c r="O57" i="9"/>
  <c r="P57" i="9"/>
  <c r="B58" i="9"/>
  <c r="C58" i="9"/>
  <c r="D58" i="9"/>
  <c r="E58" i="9"/>
  <c r="F58" i="9"/>
  <c r="G58" i="9"/>
  <c r="H58" i="9"/>
  <c r="I58" i="9"/>
  <c r="J58" i="9"/>
  <c r="K58" i="9"/>
  <c r="L58" i="9"/>
  <c r="M58" i="9"/>
  <c r="N58" i="9"/>
  <c r="O58" i="9"/>
  <c r="P58" i="9"/>
  <c r="B59" i="9"/>
  <c r="C59" i="9"/>
  <c r="D59" i="9"/>
  <c r="E59" i="9"/>
  <c r="F59" i="9"/>
  <c r="G59" i="9"/>
  <c r="H59" i="9"/>
  <c r="I59" i="9"/>
  <c r="J59" i="9"/>
  <c r="K59" i="9"/>
  <c r="L59" i="9"/>
  <c r="M59" i="9"/>
  <c r="N59" i="9"/>
  <c r="O59" i="9"/>
  <c r="P59" i="9"/>
  <c r="B60" i="9"/>
  <c r="C60" i="9"/>
  <c r="D60" i="9"/>
  <c r="E60" i="9"/>
  <c r="F60" i="9"/>
  <c r="G60" i="9"/>
  <c r="H60" i="9"/>
  <c r="I60" i="9"/>
  <c r="J60" i="9"/>
  <c r="K60" i="9"/>
  <c r="L60" i="9"/>
  <c r="M60" i="9"/>
  <c r="N60" i="9"/>
  <c r="O60" i="9"/>
  <c r="P60" i="9"/>
  <c r="B61" i="9"/>
  <c r="C61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B62" i="9"/>
  <c r="C62" i="9"/>
  <c r="D62" i="9"/>
  <c r="E62" i="9"/>
  <c r="F62" i="9"/>
  <c r="G62" i="9"/>
  <c r="H62" i="9"/>
  <c r="I62" i="9"/>
  <c r="J62" i="9"/>
  <c r="K62" i="9"/>
  <c r="L62" i="9"/>
  <c r="M62" i="9"/>
  <c r="N62" i="9"/>
  <c r="O62" i="9"/>
  <c r="P62" i="9"/>
  <c r="B63" i="9"/>
  <c r="C63" i="9"/>
  <c r="D63" i="9"/>
  <c r="E63" i="9"/>
  <c r="F63" i="9"/>
  <c r="G63" i="9"/>
  <c r="H63" i="9"/>
  <c r="I63" i="9"/>
  <c r="J63" i="9"/>
  <c r="K63" i="9"/>
  <c r="L63" i="9"/>
  <c r="M63" i="9"/>
  <c r="N63" i="9"/>
  <c r="O63" i="9"/>
  <c r="P63" i="9"/>
  <c r="B64" i="9"/>
  <c r="C64" i="9"/>
  <c r="D64" i="9"/>
  <c r="E64" i="9"/>
  <c r="F64" i="9"/>
  <c r="G64" i="9"/>
  <c r="H64" i="9"/>
  <c r="I64" i="9"/>
  <c r="J64" i="9"/>
  <c r="K64" i="9"/>
  <c r="L64" i="9"/>
  <c r="M64" i="9"/>
  <c r="N64" i="9"/>
  <c r="O64" i="9"/>
  <c r="P64" i="9"/>
  <c r="B65" i="9"/>
  <c r="C65" i="9"/>
  <c r="D65" i="9"/>
  <c r="E65" i="9"/>
  <c r="F65" i="9"/>
  <c r="G65" i="9"/>
  <c r="H65" i="9"/>
  <c r="I65" i="9"/>
  <c r="J65" i="9"/>
  <c r="K65" i="9"/>
  <c r="L65" i="9"/>
  <c r="M65" i="9"/>
  <c r="N65" i="9"/>
  <c r="O65" i="9"/>
  <c r="P65" i="9"/>
  <c r="B66" i="9"/>
  <c r="C66" i="9"/>
  <c r="D66" i="9"/>
  <c r="E66" i="9"/>
  <c r="F66" i="9"/>
  <c r="G66" i="9"/>
  <c r="H66" i="9"/>
  <c r="I66" i="9"/>
  <c r="J66" i="9"/>
  <c r="K66" i="9"/>
  <c r="L66" i="9"/>
  <c r="M66" i="9"/>
  <c r="N66" i="9"/>
  <c r="O66" i="9"/>
  <c r="P66" i="9"/>
  <c r="B67" i="9"/>
  <c r="C67" i="9"/>
  <c r="D67" i="9"/>
  <c r="E67" i="9"/>
  <c r="F67" i="9"/>
  <c r="G67" i="9"/>
  <c r="H67" i="9"/>
  <c r="I67" i="9"/>
  <c r="J67" i="9"/>
  <c r="K67" i="9"/>
  <c r="L67" i="9"/>
  <c r="M67" i="9"/>
  <c r="N67" i="9"/>
  <c r="O67" i="9"/>
  <c r="P67" i="9"/>
  <c r="B68" i="9"/>
  <c r="C68" i="9"/>
  <c r="D68" i="9"/>
  <c r="E68" i="9"/>
  <c r="F68" i="9"/>
  <c r="G68" i="9"/>
  <c r="H68" i="9"/>
  <c r="I68" i="9"/>
  <c r="J68" i="9"/>
  <c r="K68" i="9"/>
  <c r="L68" i="9"/>
  <c r="M68" i="9"/>
  <c r="N68" i="9"/>
  <c r="O68" i="9"/>
  <c r="P68" i="9"/>
  <c r="B69" i="9"/>
  <c r="C69" i="9"/>
  <c r="D69" i="9"/>
  <c r="E69" i="9"/>
  <c r="F69" i="9"/>
  <c r="G69" i="9"/>
  <c r="H69" i="9"/>
  <c r="I69" i="9"/>
  <c r="J69" i="9"/>
  <c r="K69" i="9"/>
  <c r="L69" i="9"/>
  <c r="M69" i="9"/>
  <c r="N69" i="9"/>
  <c r="O69" i="9"/>
  <c r="P69" i="9"/>
  <c r="B70" i="9"/>
  <c r="C70" i="9"/>
  <c r="D70" i="9"/>
  <c r="E70" i="9"/>
  <c r="F70" i="9"/>
  <c r="G70" i="9"/>
  <c r="H70" i="9"/>
  <c r="I70" i="9"/>
  <c r="J70" i="9"/>
  <c r="K70" i="9"/>
  <c r="L70" i="9"/>
  <c r="M70" i="9"/>
  <c r="N70" i="9"/>
  <c r="O70" i="9"/>
  <c r="P70" i="9"/>
  <c r="B71" i="9"/>
  <c r="C71" i="9"/>
  <c r="D71" i="9"/>
  <c r="E71" i="9"/>
  <c r="F71" i="9"/>
  <c r="G71" i="9"/>
  <c r="H71" i="9"/>
  <c r="I71" i="9"/>
  <c r="J71" i="9"/>
  <c r="K71" i="9"/>
  <c r="L71" i="9"/>
  <c r="M71" i="9"/>
  <c r="N71" i="9"/>
  <c r="O71" i="9"/>
  <c r="P71" i="9"/>
  <c r="E40" i="9"/>
  <c r="P40" i="9"/>
  <c r="O40" i="9"/>
  <c r="N40" i="9"/>
  <c r="M40" i="9"/>
  <c r="L40" i="9"/>
  <c r="K40" i="9"/>
  <c r="J40" i="9"/>
  <c r="I40" i="9"/>
  <c r="H40" i="9"/>
  <c r="G40" i="9"/>
  <c r="F40" i="9"/>
  <c r="D40" i="9"/>
  <c r="C40" i="9"/>
  <c r="B40" i="9"/>
  <c r="C34" i="9"/>
  <c r="D34" i="9"/>
  <c r="E34" i="9"/>
  <c r="F34" i="9"/>
  <c r="G34" i="9"/>
  <c r="H34" i="9"/>
  <c r="I34" i="9"/>
  <c r="J34" i="9"/>
  <c r="K34" i="9"/>
  <c r="L34" i="9"/>
  <c r="M34" i="9"/>
  <c r="N34" i="9"/>
  <c r="O34" i="9"/>
  <c r="P34" i="9"/>
  <c r="B34" i="9"/>
  <c r="F71" i="8"/>
  <c r="B40" i="8"/>
  <c r="C40" i="8"/>
  <c r="D40" i="8"/>
  <c r="E40" i="8"/>
  <c r="F40" i="8"/>
  <c r="G40" i="8"/>
  <c r="H40" i="8"/>
  <c r="I40" i="8"/>
  <c r="I71" i="8" s="1"/>
  <c r="J40" i="8"/>
  <c r="K40" i="8"/>
  <c r="L40" i="8"/>
  <c r="M40" i="8"/>
  <c r="N40" i="8"/>
  <c r="O40" i="8"/>
  <c r="P40" i="8"/>
  <c r="B41" i="8"/>
  <c r="B71" i="8" s="1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B39" i="8"/>
  <c r="P39" i="8"/>
  <c r="P71" i="8" s="1"/>
  <c r="O39" i="8"/>
  <c r="O71" i="8" s="1"/>
  <c r="N39" i="8"/>
  <c r="N71" i="8" s="1"/>
  <c r="M39" i="8"/>
  <c r="M71" i="8" s="1"/>
  <c r="L39" i="8"/>
  <c r="L71" i="8" s="1"/>
  <c r="K39" i="8"/>
  <c r="K71" i="8" s="1"/>
  <c r="J39" i="8"/>
  <c r="J71" i="8" s="1"/>
  <c r="I39" i="8"/>
  <c r="H39" i="8"/>
  <c r="H71" i="8" s="1"/>
  <c r="G39" i="8"/>
  <c r="G71" i="8" s="1"/>
  <c r="F39" i="8"/>
  <c r="E39" i="8"/>
  <c r="E71" i="8" s="1"/>
  <c r="D39" i="8"/>
  <c r="D71" i="8" s="1"/>
  <c r="C39" i="8"/>
  <c r="C71" i="8" s="1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B34" i="8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B41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B28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B15" i="7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B72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B69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B70" i="6"/>
  <c r="C70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B71" i="6"/>
  <c r="C71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B70" i="5"/>
  <c r="C70" i="5"/>
  <c r="D70" i="5"/>
  <c r="E70" i="5"/>
  <c r="F70" i="5"/>
  <c r="G70" i="5"/>
  <c r="I70" i="5"/>
  <c r="J70" i="5"/>
  <c r="K70" i="5"/>
  <c r="L70" i="5"/>
  <c r="M70" i="5"/>
  <c r="N70" i="5"/>
  <c r="O70" i="5"/>
  <c r="P70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B42" i="5"/>
  <c r="C42" i="5"/>
  <c r="D42" i="5"/>
  <c r="E42" i="5"/>
  <c r="E71" i="5" s="1"/>
  <c r="F42" i="5"/>
  <c r="G42" i="5"/>
  <c r="H42" i="5"/>
  <c r="I42" i="5"/>
  <c r="J42" i="5"/>
  <c r="K42" i="5"/>
  <c r="L42" i="5"/>
  <c r="M42" i="5"/>
  <c r="M71" i="5" s="1"/>
  <c r="N42" i="5"/>
  <c r="O42" i="5"/>
  <c r="P42" i="5"/>
  <c r="B43" i="5"/>
  <c r="C43" i="5"/>
  <c r="C71" i="5" s="1"/>
  <c r="D43" i="5"/>
  <c r="E43" i="5"/>
  <c r="F43" i="5"/>
  <c r="G43" i="5"/>
  <c r="H43" i="5"/>
  <c r="I43" i="5"/>
  <c r="J43" i="5"/>
  <c r="K43" i="5"/>
  <c r="K71" i="5" s="1"/>
  <c r="L43" i="5"/>
  <c r="M43" i="5"/>
  <c r="N43" i="5"/>
  <c r="O43" i="5"/>
  <c r="P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B71" i="5"/>
  <c r="P39" i="5"/>
  <c r="P71" i="5" s="1"/>
  <c r="O39" i="5"/>
  <c r="O71" i="5" s="1"/>
  <c r="N39" i="5"/>
  <c r="N71" i="5" s="1"/>
  <c r="M39" i="5"/>
  <c r="L39" i="5"/>
  <c r="L71" i="5" s="1"/>
  <c r="K39" i="5"/>
  <c r="J39" i="5"/>
  <c r="J71" i="5" s="1"/>
  <c r="I39" i="5"/>
  <c r="I71" i="5" s="1"/>
  <c r="H39" i="5"/>
  <c r="H71" i="5" s="1"/>
  <c r="G39" i="5"/>
  <c r="G71" i="5" s="1"/>
  <c r="F39" i="5"/>
  <c r="F71" i="5" s="1"/>
  <c r="E39" i="5"/>
  <c r="D39" i="5"/>
  <c r="D71" i="5" s="1"/>
  <c r="C39" i="5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B44" i="4"/>
  <c r="C44" i="4"/>
  <c r="D44" i="4"/>
  <c r="D71" i="4" s="1"/>
  <c r="E44" i="4"/>
  <c r="F44" i="4"/>
  <c r="G44" i="4"/>
  <c r="H44" i="4"/>
  <c r="I44" i="4"/>
  <c r="J44" i="4"/>
  <c r="K44" i="4"/>
  <c r="L44" i="4"/>
  <c r="L71" i="4" s="1"/>
  <c r="M44" i="4"/>
  <c r="N44" i="4"/>
  <c r="O44" i="4"/>
  <c r="P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K40" i="4"/>
  <c r="K71" i="4" s="1"/>
  <c r="B40" i="4"/>
  <c r="C40" i="4"/>
  <c r="D40" i="4"/>
  <c r="E40" i="4"/>
  <c r="F40" i="4"/>
  <c r="G40" i="4"/>
  <c r="H40" i="4"/>
  <c r="I40" i="4"/>
  <c r="J40" i="4"/>
  <c r="L40" i="4"/>
  <c r="M40" i="4"/>
  <c r="N40" i="4"/>
  <c r="O40" i="4"/>
  <c r="P40" i="4"/>
  <c r="P39" i="4"/>
  <c r="P71" i="4" s="1"/>
  <c r="O39" i="4"/>
  <c r="O71" i="4" s="1"/>
  <c r="M39" i="4"/>
  <c r="M71" i="4" s="1"/>
  <c r="L39" i="4"/>
  <c r="J39" i="4"/>
  <c r="J71" i="4" s="1"/>
  <c r="I39" i="4"/>
  <c r="I71" i="4" s="1"/>
  <c r="G39" i="4"/>
  <c r="G71" i="4" s="1"/>
  <c r="F39" i="4"/>
  <c r="F71" i="4" s="1"/>
  <c r="D39" i="4"/>
  <c r="C39" i="4"/>
  <c r="C71" i="4" s="1"/>
  <c r="N39" i="4"/>
  <c r="N71" i="4" s="1"/>
  <c r="K39" i="4"/>
  <c r="H39" i="4"/>
  <c r="H71" i="4" s="1"/>
  <c r="E39" i="4"/>
  <c r="E71" i="4" s="1"/>
  <c r="B39" i="4"/>
  <c r="B71" i="4" s="1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39" i="3"/>
  <c r="C71" i="3" s="1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39" i="3"/>
  <c r="B71" i="3" s="1"/>
  <c r="P42" i="1"/>
  <c r="P43" i="1"/>
  <c r="P44" i="1"/>
  <c r="P45" i="1"/>
  <c r="P73" i="1" s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41" i="1"/>
  <c r="O42" i="1"/>
  <c r="O43" i="1"/>
  <c r="O44" i="1"/>
  <c r="O45" i="1"/>
  <c r="O46" i="1"/>
  <c r="O73" i="1" s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41" i="1"/>
  <c r="N54" i="1"/>
  <c r="N55" i="1"/>
  <c r="N56" i="1"/>
  <c r="N57" i="1"/>
  <c r="N58" i="1"/>
  <c r="N73" i="1" s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42" i="1"/>
  <c r="N43" i="1"/>
  <c r="N44" i="1"/>
  <c r="N45" i="1"/>
  <c r="N46" i="1"/>
  <c r="N47" i="1"/>
  <c r="N48" i="1"/>
  <c r="N49" i="1"/>
  <c r="N50" i="1"/>
  <c r="N51" i="1"/>
  <c r="N52" i="1"/>
  <c r="N53" i="1"/>
  <c r="N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73" i="1" s="1"/>
  <c r="J64" i="1"/>
  <c r="J65" i="1"/>
  <c r="J66" i="1"/>
  <c r="J67" i="1"/>
  <c r="J68" i="1"/>
  <c r="J69" i="1"/>
  <c r="J70" i="1"/>
  <c r="J71" i="1"/>
  <c r="J72" i="1"/>
  <c r="J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41" i="1"/>
  <c r="H73" i="1" s="1"/>
  <c r="G42" i="1"/>
  <c r="G43" i="1"/>
  <c r="G44" i="1"/>
  <c r="G45" i="1"/>
  <c r="G73" i="1" s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41" i="1"/>
  <c r="F42" i="1"/>
  <c r="F43" i="1"/>
  <c r="F44" i="1"/>
  <c r="F45" i="1"/>
  <c r="F46" i="1"/>
  <c r="F73" i="1" s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41" i="1"/>
  <c r="D42" i="1"/>
  <c r="D43" i="1"/>
  <c r="D44" i="1"/>
  <c r="D45" i="1"/>
  <c r="D46" i="1"/>
  <c r="D47" i="1"/>
  <c r="D48" i="1"/>
  <c r="D49" i="1"/>
  <c r="D73" i="1" s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41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42" i="1"/>
  <c r="B41" i="1"/>
  <c r="M73" i="1"/>
  <c r="L73" i="1"/>
  <c r="K73" i="1"/>
  <c r="I73" i="1"/>
  <c r="C73" i="1"/>
  <c r="B34" i="6"/>
  <c r="C34" i="6"/>
  <c r="D34" i="6"/>
  <c r="E34" i="6"/>
  <c r="F34" i="6"/>
  <c r="G34" i="6"/>
  <c r="H34" i="6"/>
  <c r="I34" i="6"/>
  <c r="J34" i="6"/>
  <c r="B34" i="5"/>
  <c r="C34" i="5"/>
  <c r="D34" i="5"/>
  <c r="E34" i="5"/>
  <c r="F34" i="5"/>
  <c r="G34" i="5"/>
  <c r="H34" i="5"/>
  <c r="I34" i="5"/>
  <c r="J34" i="5"/>
  <c r="B34" i="4"/>
  <c r="C34" i="4"/>
  <c r="D34" i="4"/>
  <c r="E34" i="4"/>
  <c r="F34" i="4"/>
  <c r="G34" i="4"/>
  <c r="H34" i="4"/>
  <c r="I34" i="4"/>
  <c r="J34" i="4"/>
  <c r="B34" i="3"/>
  <c r="C34" i="3"/>
  <c r="D34" i="3"/>
  <c r="E34" i="3"/>
  <c r="F34" i="3"/>
  <c r="G34" i="3"/>
  <c r="H34" i="3"/>
  <c r="I34" i="3"/>
  <c r="J34" i="3"/>
  <c r="C34" i="1"/>
  <c r="D34" i="1"/>
  <c r="E34" i="1"/>
  <c r="F34" i="1"/>
  <c r="G34" i="1"/>
  <c r="H34" i="1"/>
  <c r="I34" i="1"/>
  <c r="J34" i="1"/>
  <c r="K34" i="1"/>
  <c r="B34" i="1"/>
  <c r="P34" i="6"/>
  <c r="O34" i="6"/>
  <c r="N34" i="6"/>
  <c r="M34" i="6"/>
  <c r="L34" i="6"/>
  <c r="K34" i="6"/>
  <c r="P34" i="5"/>
  <c r="O34" i="5"/>
  <c r="N34" i="5"/>
  <c r="M34" i="5"/>
  <c r="L34" i="5"/>
  <c r="K34" i="5"/>
  <c r="P34" i="4"/>
  <c r="O34" i="4"/>
  <c r="N34" i="4"/>
  <c r="M34" i="4"/>
  <c r="L34" i="4"/>
  <c r="K34" i="4"/>
  <c r="P34" i="3"/>
  <c r="O34" i="3"/>
  <c r="N34" i="3"/>
  <c r="M34" i="3"/>
  <c r="L34" i="3"/>
  <c r="K34" i="3"/>
  <c r="L34" i="1"/>
  <c r="M34" i="1"/>
  <c r="N34" i="1"/>
  <c r="O34" i="1"/>
  <c r="P34" i="1"/>
  <c r="D71" i="3" l="1"/>
  <c r="E71" i="3"/>
  <c r="F71" i="3"/>
  <c r="G71" i="3"/>
  <c r="H71" i="3"/>
  <c r="N71" i="3"/>
  <c r="I71" i="3"/>
  <c r="J71" i="3"/>
  <c r="L71" i="3"/>
  <c r="O71" i="3"/>
  <c r="P71" i="3"/>
  <c r="M71" i="3"/>
  <c r="N70" i="12"/>
  <c r="F70" i="12"/>
  <c r="D70" i="12"/>
  <c r="C70" i="12"/>
  <c r="P70" i="12"/>
  <c r="H70" i="12"/>
  <c r="O70" i="12"/>
  <c r="G70" i="12"/>
  <c r="J70" i="12"/>
  <c r="I70" i="12"/>
  <c r="J72" i="11"/>
  <c r="C72" i="11"/>
  <c r="K72" i="11"/>
  <c r="I72" i="11"/>
  <c r="K71" i="3"/>
  <c r="E73" i="1"/>
  <c r="B73" i="1"/>
</calcChain>
</file>

<file path=xl/sharedStrings.xml><?xml version="1.0" encoding="utf-8"?>
<sst xmlns="http://schemas.openxmlformats.org/spreadsheetml/2006/main" count="753" uniqueCount="153">
  <si>
    <t>fund_id</t>
  </si>
  <si>
    <t>3models_lstm_rmse</t>
  </si>
  <si>
    <t>3models_lstm_smape</t>
  </si>
  <si>
    <t>3models_lstm_mase</t>
  </si>
  <si>
    <t>3models_sarimax_rmse</t>
  </si>
  <si>
    <t>3models_sarimax_smape</t>
  </si>
  <si>
    <t>3models_sarimax_mase</t>
  </si>
  <si>
    <t>3models_catboost_rmse</t>
  </si>
  <si>
    <t>3models_catboost_smape</t>
  </si>
  <si>
    <t>3models_catboost_mase</t>
  </si>
  <si>
    <t>3models_ens_linear_rmse</t>
  </si>
  <si>
    <t>3models_ens_linear_smape</t>
  </si>
  <si>
    <t>3models_ens_linear_mase</t>
  </si>
  <si>
    <t>3models_ens_nn_rmse</t>
  </si>
  <si>
    <t>3models_ens_nn_smape</t>
  </si>
  <si>
    <t>3models_ens_nn_mase</t>
  </si>
  <si>
    <t>* исключены следующие признаки:</t>
  </si>
  <si>
    <r>
      <t>'day_purpose_pca_4'</t>
    </r>
    <r>
      <rPr>
        <sz val="12"/>
        <color rgb="FF3B3B3B"/>
        <rFont val="Fira Mono for Powerline"/>
      </rPr>
      <t>,</t>
    </r>
  </si>
  <si>
    <r>
      <t>'day_purpose_pca_5'</t>
    </r>
    <r>
      <rPr>
        <sz val="12"/>
        <color rgb="FF3B3B3B"/>
        <rFont val="Fira Mono for Powerline"/>
      </rPr>
      <t>,</t>
    </r>
  </si>
  <si>
    <r>
      <t>'day_robots__id_nunique'</t>
    </r>
    <r>
      <rPr>
        <sz val="12"/>
        <color rgb="FF3B3B3B"/>
        <rFont val="Fira Mono for Powerline"/>
      </rPr>
      <t>,</t>
    </r>
  </si>
  <si>
    <r>
      <t>'article_id_ufreq_std'</t>
    </r>
    <r>
      <rPr>
        <sz val="12"/>
        <color rgb="FF3B3B3B"/>
        <rFont val="Fira Mono for Powerline"/>
      </rPr>
      <t>,</t>
    </r>
  </si>
  <si>
    <r>
      <t>'projects__parent_id_ufreq_std'</t>
    </r>
    <r>
      <rPr>
        <sz val="12"/>
        <color rgb="FF3B3B3B"/>
        <rFont val="Fira Mono for Powerline"/>
      </rPr>
      <t>,</t>
    </r>
  </si>
  <si>
    <r>
      <t>'counterpartie_id_ufreq_std'</t>
    </r>
    <r>
      <rPr>
        <sz val="12"/>
        <color rgb="FF3B3B3B"/>
        <rFont val="Fira Mono for Powerline"/>
      </rPr>
      <t>,</t>
    </r>
  </si>
  <si>
    <r>
      <t>'day_counterpartie_id_nunique'</t>
    </r>
    <r>
      <rPr>
        <sz val="12"/>
        <color rgb="FF3B3B3B"/>
        <rFont val="Fira Mono for Powerline"/>
      </rPr>
      <t>,</t>
    </r>
  </si>
  <si>
    <r>
      <t>'day_projects__parent_id_nunique'</t>
    </r>
    <r>
      <rPr>
        <sz val="12"/>
        <color rgb="FF3B3B3B"/>
        <rFont val="Fira Mono for Powerline"/>
      </rPr>
      <t>,</t>
    </r>
  </si>
  <si>
    <r>
      <t>'day_donor_id_nunique'</t>
    </r>
    <r>
      <rPr>
        <sz val="12"/>
        <color rgb="FF3B3B3B"/>
        <rFont val="Fira Mono for Powerline"/>
      </rPr>
      <t>,</t>
    </r>
  </si>
  <si>
    <r>
      <t>'donor_id_ufreq_std'</t>
    </r>
    <r>
      <rPr>
        <sz val="12"/>
        <color rgb="FF3B3B3B"/>
        <rFont val="Fira Mono for Powerline"/>
      </rPr>
      <t>,</t>
    </r>
  </si>
  <si>
    <r>
      <t>'account_id_ufreq_std'</t>
    </r>
    <r>
      <rPr>
        <sz val="12"/>
        <color rgb="FF3B3B3B"/>
        <rFont val="Fira Mono for Powerline"/>
      </rPr>
      <t>,</t>
    </r>
  </si>
  <si>
    <r>
      <t>'counterparties__parent_id_ufreq_std'</t>
    </r>
    <r>
      <rPr>
        <sz val="12"/>
        <color rgb="FF3B3B3B"/>
        <rFont val="Fira Mono for Powerline"/>
      </rPr>
      <t>,</t>
    </r>
  </si>
  <si>
    <r>
      <t>'project_id_ufreq_std'</t>
    </r>
    <r>
      <rPr>
        <sz val="12"/>
        <color rgb="FF3B3B3B"/>
        <rFont val="Fira Mono for Powerline"/>
      </rPr>
      <t>,</t>
    </r>
  </si>
  <si>
    <r>
      <t>'articles__parent_id_ufreq_std'</t>
    </r>
    <r>
      <rPr>
        <sz val="12"/>
        <color rgb="FF3B3B3B"/>
        <rFont val="Fira Mono for Powerline"/>
      </rPr>
      <t>,</t>
    </r>
  </si>
  <si>
    <r>
      <t>'robots__id_ufreq_std'</t>
    </r>
    <r>
      <rPr>
        <sz val="12"/>
        <color rgb="FF3B3B3B"/>
        <rFont val="Fira Mono for Powerline"/>
      </rPr>
      <t xml:space="preserve">, </t>
    </r>
  </si>
  <si>
    <r>
      <t>'day_donor_cat_id_nunique'</t>
    </r>
    <r>
      <rPr>
        <sz val="12"/>
        <color rgb="FF3B3B3B"/>
        <rFont val="Fira Mono for Powerline"/>
      </rPr>
      <t>,</t>
    </r>
  </si>
  <si>
    <r>
      <t>'day_articles__parent_id_nunique'</t>
    </r>
    <r>
      <rPr>
        <sz val="12"/>
        <color rgb="FF3B3B3B"/>
        <rFont val="Fira Mono for Powerline"/>
      </rPr>
      <t>,</t>
    </r>
  </si>
  <si>
    <r>
      <t>'day_counterparties__parent_id_nunique'</t>
    </r>
    <r>
      <rPr>
        <sz val="12"/>
        <color rgb="FF3B3B3B"/>
        <rFont val="Fira Mono for Powerline"/>
      </rPr>
      <t>,</t>
    </r>
  </si>
  <si>
    <r>
      <t>'donor_id_ufreq_mean'</t>
    </r>
    <r>
      <rPr>
        <sz val="12"/>
        <color rgb="FF3B3B3B"/>
        <rFont val="Fira Mono for Powerline"/>
      </rPr>
      <t>,</t>
    </r>
  </si>
  <si>
    <r>
      <t>'day_account_id_nunique'</t>
    </r>
    <r>
      <rPr>
        <sz val="12"/>
        <color rgb="FF3B3B3B"/>
        <rFont val="Fira Mono for Powerline"/>
      </rPr>
      <t>,</t>
    </r>
  </si>
  <si>
    <r>
      <t>'counterpartie_id_ufreq_mean'</t>
    </r>
    <r>
      <rPr>
        <sz val="12"/>
        <color rgb="FF3B3B3B"/>
        <rFont val="Fira Mono for Powerline"/>
      </rPr>
      <t>,</t>
    </r>
  </si>
  <si>
    <r>
      <t>'day_article_id_nunique'</t>
    </r>
    <r>
      <rPr>
        <sz val="12"/>
        <color rgb="FF3B3B3B"/>
        <rFont val="Fira Mono for Powerline"/>
      </rPr>
      <t>,</t>
    </r>
  </si>
  <si>
    <r>
      <t>'projects__parent_id_ufreq_mean'</t>
    </r>
    <r>
      <rPr>
        <sz val="12"/>
        <color rgb="FF3B3B3B"/>
        <rFont val="Fira Mono for Powerline"/>
      </rPr>
      <t>,</t>
    </r>
  </si>
  <si>
    <r>
      <t>'day_project_id_nunique'</t>
    </r>
    <r>
      <rPr>
        <sz val="12"/>
        <color rgb="FF3B3B3B"/>
        <rFont val="Fira Mono for Powerline"/>
      </rPr>
      <t>,</t>
    </r>
  </si>
  <si>
    <t>'account_id_ufreq_mean'</t>
  </si>
  <si>
    <t>'project_id_ufreq_std',</t>
  </si>
  <si>
    <t>'day_donor_cat_id_nunique',</t>
  </si>
  <si>
    <t>'day_robots__id_nunique',</t>
  </si>
  <si>
    <t>'week_number_cos',</t>
  </si>
  <si>
    <t>'articles__parent_id_ufreq_mean',</t>
  </si>
  <si>
    <t>'counterparties__parent_id_ufreq_std',</t>
  </si>
  <si>
    <t>'robots__id_ufreq_mean',</t>
  </si>
  <si>
    <t>'day_project_id_nunique',</t>
  </si>
  <si>
    <t>'day_projects__parent_id_nunique',</t>
  </si>
  <si>
    <t>'day_articles__parent_id_nunique',</t>
  </si>
  <si>
    <t>'donor_cat_id_ufreq_std',</t>
  </si>
  <si>
    <t>'projects__parent_id_ufreq_mean',</t>
  </si>
  <si>
    <t>'day_counterpartie_id_nunique',</t>
  </si>
  <si>
    <t>'day_article_id_nunique',</t>
  </si>
  <si>
    <t>'projects__parent_id_ufreq_std',</t>
  </si>
  <si>
    <t>'donor_id_ufreq_std',</t>
  </si>
  <si>
    <t>'counterpartie_id_ufreq_std',</t>
  </si>
  <si>
    <t>'account_id_ufreq_std',</t>
  </si>
  <si>
    <t>'donor_id_ufreq_mean',</t>
  </si>
  <si>
    <t>'counterpartie_id_ufreq_mean',</t>
  </si>
  <si>
    <t>'account_id_ufreq_mean',</t>
  </si>
  <si>
    <t>'day_min_payment',</t>
  </si>
  <si>
    <t>'day_donor_id_nunique',</t>
  </si>
  <si>
    <t>'day_account_id_nunique'</t>
  </si>
  <si>
    <t>features/metrics</t>
  </si>
  <si>
    <t>all_features</t>
  </si>
  <si>
    <t>feature_set_1</t>
  </si>
  <si>
    <t>feature_set_2</t>
  </si>
  <si>
    <r>
      <t>'day_purpose_pca_3'</t>
    </r>
    <r>
      <rPr>
        <sz val="12"/>
        <color rgb="FF3B3B3B"/>
        <rFont val="Fira Mono for Powerline"/>
      </rPr>
      <t>,</t>
    </r>
  </si>
  <si>
    <r>
      <t>'week_number_sin'</t>
    </r>
    <r>
      <rPr>
        <sz val="12"/>
        <color rgb="FF3B3B3B"/>
        <rFont val="Fira Mono for Powerline"/>
      </rPr>
      <t>,</t>
    </r>
  </si>
  <si>
    <r>
      <t>'week_number_cos'</t>
    </r>
    <r>
      <rPr>
        <sz val="12"/>
        <color rgb="FF3B3B3B"/>
        <rFont val="Fira Mono for Powerline"/>
      </rPr>
      <t>,</t>
    </r>
  </si>
  <si>
    <r>
      <t>'day_of_week_sin'</t>
    </r>
    <r>
      <rPr>
        <sz val="12"/>
        <color rgb="FF3B3B3B"/>
        <rFont val="Fira Mono for Powerline"/>
      </rPr>
      <t>,</t>
    </r>
  </si>
  <si>
    <r>
      <t>'day_of_week_cos'</t>
    </r>
    <r>
      <rPr>
        <sz val="12"/>
        <color rgb="FF3B3B3B"/>
        <rFont val="Fira Mono for Powerline"/>
      </rPr>
      <t>,</t>
    </r>
  </si>
  <si>
    <r>
      <t>'contractor_id_ufreq_std'</t>
    </r>
    <r>
      <rPr>
        <sz val="12"/>
        <color rgb="FF3B3B3B"/>
        <rFont val="Fira Mono for Powerline"/>
      </rPr>
      <t>,</t>
    </r>
  </si>
  <si>
    <r>
      <t>'donor_cat_id_ufreq_std'</t>
    </r>
    <r>
      <rPr>
        <sz val="12"/>
        <color rgb="FF3B3B3B"/>
        <rFont val="Fira Mono for Powerline"/>
      </rPr>
      <t>,</t>
    </r>
  </si>
  <si>
    <t>'day_donor_id_nunique'</t>
  </si>
  <si>
    <t>feature_set_3</t>
  </si>
  <si>
    <t>feature_set_2+3</t>
  </si>
  <si>
    <t>mean</t>
  </si>
  <si>
    <t>Среднее значение метрик по всем фондам*</t>
  </si>
  <si>
    <t>Normalized RMSE:</t>
  </si>
  <si>
    <t>All_funds</t>
  </si>
  <si>
    <t>All_funds_rmse_normalized</t>
  </si>
  <si>
    <t>top10_all_features</t>
  </si>
  <si>
    <t>top10_feature_set_2</t>
  </si>
  <si>
    <t>top10_feature_set_2+3</t>
  </si>
  <si>
    <r>
      <t>'day_contractor_id_nunique'</t>
    </r>
    <r>
      <rPr>
        <sz val="12"/>
        <color rgb="FF3B3B3B"/>
        <rFont val="Fira Mono for Powerline"/>
      </rPr>
      <t>,</t>
    </r>
  </si>
  <si>
    <t>Normalized_RMSE:</t>
  </si>
  <si>
    <t>feature_set_4</t>
  </si>
  <si>
    <t>feature_set_5</t>
  </si>
  <si>
    <t>Все признаки:</t>
  </si>
  <si>
    <r>
      <t>'day_account_id_nunique'</t>
    </r>
    <r>
      <rPr>
        <sz val="12"/>
        <color rgb="FF3B3B3B"/>
        <rFont val="Fira Mono for Powerline"/>
      </rPr>
      <t xml:space="preserve">, </t>
    </r>
  </si>
  <si>
    <r>
      <t>'day_article_id_nunique'</t>
    </r>
    <r>
      <rPr>
        <sz val="12"/>
        <color rgb="FF3B3B3B"/>
        <rFont val="Fira Mono for Powerline"/>
      </rPr>
      <t xml:space="preserve">, </t>
    </r>
  </si>
  <si>
    <r>
      <t>'day_counterpartie_id_nunique'</t>
    </r>
    <r>
      <rPr>
        <sz val="12"/>
        <color rgb="FF3B3B3B"/>
        <rFont val="Fira Mono for Powerline"/>
      </rPr>
      <t xml:space="preserve">, </t>
    </r>
  </si>
  <si>
    <r>
      <t>'day_donor_cat_id_nunique'</t>
    </r>
    <r>
      <rPr>
        <sz val="12"/>
        <color rgb="FF3B3B3B"/>
        <rFont val="Fira Mono for Powerline"/>
      </rPr>
      <t xml:space="preserve">, </t>
    </r>
  </si>
  <si>
    <r>
      <t>'day_counterparties__parent_id_nunique'</t>
    </r>
    <r>
      <rPr>
        <sz val="12"/>
        <color rgb="FF3B3B3B"/>
        <rFont val="Fira Mono for Powerline"/>
      </rPr>
      <t xml:space="preserve">, </t>
    </r>
  </si>
  <si>
    <r>
      <t>'day_payments_sum'</t>
    </r>
    <r>
      <rPr>
        <sz val="12"/>
        <color rgb="FF3B3B3B"/>
        <rFont val="Fira Mono for Powerline"/>
      </rPr>
      <t xml:space="preserve">, </t>
    </r>
  </si>
  <si>
    <r>
      <t>'day_payments_count'</t>
    </r>
    <r>
      <rPr>
        <sz val="12"/>
        <color rgb="FF3B3B3B"/>
        <rFont val="Fira Mono for Powerline"/>
      </rPr>
      <t xml:space="preserve">, </t>
    </r>
  </si>
  <si>
    <r>
      <t>'day_min_payment'</t>
    </r>
    <r>
      <rPr>
        <sz val="12"/>
        <color rgb="FF3B3B3B"/>
        <rFont val="Fira Mono for Powerline"/>
      </rPr>
      <t>,</t>
    </r>
  </si>
  <si>
    <r>
      <t>'day_max_payment'</t>
    </r>
    <r>
      <rPr>
        <sz val="12"/>
        <color rgb="FF3B3B3B"/>
        <rFont val="Fira Mono for Powerline"/>
      </rPr>
      <t xml:space="preserve">, </t>
    </r>
  </si>
  <si>
    <r>
      <t>'day_purpose_mean'</t>
    </r>
    <r>
      <rPr>
        <sz val="12"/>
        <color rgb="FF3B3B3B"/>
        <rFont val="Fira Mono for Powerline"/>
      </rPr>
      <t xml:space="preserve">, </t>
    </r>
  </si>
  <si>
    <r>
      <t>'day_purpose_pca_1'</t>
    </r>
    <r>
      <rPr>
        <sz val="12"/>
        <color rgb="FF3B3B3B"/>
        <rFont val="Fira Mono for Powerline"/>
      </rPr>
      <t>,</t>
    </r>
  </si>
  <si>
    <r>
      <t>'day_purpose_pca_2'</t>
    </r>
    <r>
      <rPr>
        <sz val="12"/>
        <color rgb="FF3B3B3B"/>
        <rFont val="Fira Mono for Powerline"/>
      </rPr>
      <t xml:space="preserve">, </t>
    </r>
  </si>
  <si>
    <r>
      <t>'day_purpose_pca_3'</t>
    </r>
    <r>
      <rPr>
        <sz val="12"/>
        <color rgb="FF3B3B3B"/>
        <rFont val="Fira Mono for Powerline"/>
      </rPr>
      <t xml:space="preserve">, </t>
    </r>
  </si>
  <si>
    <r>
      <t>'day_purpose_pca_5'</t>
    </r>
    <r>
      <rPr>
        <sz val="12"/>
        <color rgb="FF3B3B3B"/>
        <rFont val="Fira Mono for Powerline"/>
      </rPr>
      <t xml:space="preserve">, </t>
    </r>
  </si>
  <si>
    <r>
      <t>'account_id_ufreq_mean'</t>
    </r>
    <r>
      <rPr>
        <sz val="12"/>
        <color rgb="FF3B3B3B"/>
        <rFont val="Fira Mono for Powerline"/>
      </rPr>
      <t>,</t>
    </r>
  </si>
  <si>
    <r>
      <t>'contractor_id_ufreq_mean'</t>
    </r>
    <r>
      <rPr>
        <sz val="12"/>
        <color rgb="FF3B3B3B"/>
        <rFont val="Fira Mono for Powerline"/>
      </rPr>
      <t xml:space="preserve">, </t>
    </r>
  </si>
  <si>
    <r>
      <t>'article_id_ufreq_mean'</t>
    </r>
    <r>
      <rPr>
        <sz val="12"/>
        <color rgb="FF3B3B3B"/>
        <rFont val="Fira Mono for Powerline"/>
      </rPr>
      <t>,</t>
    </r>
  </si>
  <si>
    <r>
      <t>'project_id_ufreq_mean'</t>
    </r>
    <r>
      <rPr>
        <sz val="12"/>
        <color rgb="FF3B3B3B"/>
        <rFont val="Fira Mono for Powerline"/>
      </rPr>
      <t xml:space="preserve">, </t>
    </r>
  </si>
  <si>
    <r>
      <t>'donor_id_ufreq_mean'</t>
    </r>
    <r>
      <rPr>
        <sz val="12"/>
        <color rgb="FF3B3B3B"/>
        <rFont val="Fira Mono for Powerline"/>
      </rPr>
      <t xml:space="preserve">, </t>
    </r>
  </si>
  <si>
    <r>
      <t>'donor_cat_id_ufreq_mean'</t>
    </r>
    <r>
      <rPr>
        <sz val="12"/>
        <color rgb="FF3B3B3B"/>
        <rFont val="Fira Mono for Powerline"/>
      </rPr>
      <t>,</t>
    </r>
  </si>
  <si>
    <r>
      <t>'articles__parent_id_ufreq_mean'</t>
    </r>
    <r>
      <rPr>
        <sz val="12"/>
        <color rgb="FF3B3B3B"/>
        <rFont val="Fira Mono for Powerline"/>
      </rPr>
      <t xml:space="preserve">, </t>
    </r>
  </si>
  <si>
    <r>
      <t>'counterparties__parent_id_ufreq_mean'</t>
    </r>
    <r>
      <rPr>
        <sz val="12"/>
        <color rgb="FF3B3B3B"/>
        <rFont val="Fira Mono for Powerline"/>
      </rPr>
      <t xml:space="preserve">, </t>
    </r>
  </si>
  <si>
    <r>
      <t>'robots__id_ufreq_mean'</t>
    </r>
    <r>
      <rPr>
        <sz val="12"/>
        <color rgb="FF3B3B3B"/>
        <rFont val="Fira Mono for Powerline"/>
      </rPr>
      <t>,</t>
    </r>
  </si>
  <si>
    <r>
      <t>'account_id_ufreq_std'</t>
    </r>
    <r>
      <rPr>
        <sz val="12"/>
        <color rgb="FF3B3B3B"/>
        <rFont val="Fira Mono for Powerline"/>
      </rPr>
      <t xml:space="preserve">, </t>
    </r>
  </si>
  <si>
    <r>
      <t>'article_id_ufreq_std'</t>
    </r>
    <r>
      <rPr>
        <sz val="12"/>
        <color rgb="FF3B3B3B"/>
        <rFont val="Fira Mono for Powerline"/>
      </rPr>
      <t xml:space="preserve">, </t>
    </r>
  </si>
  <si>
    <r>
      <t>'counterpartie_id_ufreq_std'</t>
    </r>
    <r>
      <rPr>
        <sz val="12"/>
        <color rgb="FF3B3B3B"/>
        <rFont val="Fira Mono for Powerline"/>
      </rPr>
      <t xml:space="preserve">, </t>
    </r>
  </si>
  <si>
    <r>
      <t>'donor_cat_id_ufreq_std'</t>
    </r>
    <r>
      <rPr>
        <sz val="12"/>
        <color rgb="FF3B3B3B"/>
        <rFont val="Fira Mono for Powerline"/>
      </rPr>
      <t xml:space="preserve">, </t>
    </r>
  </si>
  <si>
    <r>
      <t>'projects__parent_id_ufreq_std'</t>
    </r>
    <r>
      <rPr>
        <sz val="12"/>
        <color rgb="FF3B3B3B"/>
        <rFont val="Fira Mono for Powerline"/>
      </rPr>
      <t xml:space="preserve">, </t>
    </r>
  </si>
  <si>
    <r>
      <t>'day_of_week'</t>
    </r>
    <r>
      <rPr>
        <sz val="12"/>
        <color rgb="FF3B3B3B"/>
        <rFont val="Fira Mono for Powerline"/>
      </rPr>
      <t xml:space="preserve">, </t>
    </r>
  </si>
  <si>
    <r>
      <t>'day_of_week_cos'</t>
    </r>
    <r>
      <rPr>
        <sz val="12"/>
        <color rgb="FF3B3B3B"/>
        <rFont val="Fira Mono for Powerline"/>
      </rPr>
      <t xml:space="preserve">, </t>
    </r>
  </si>
  <si>
    <r>
      <t>'week_number'</t>
    </r>
    <r>
      <rPr>
        <sz val="12"/>
        <color rgb="FF3B3B3B"/>
        <rFont val="Fira Mono for Powerline"/>
      </rPr>
      <t xml:space="preserve">, </t>
    </r>
  </si>
  <si>
    <r>
      <t>'week_number_sin'</t>
    </r>
    <r>
      <rPr>
        <sz val="12"/>
        <color rgb="FF3B3B3B"/>
        <rFont val="Fira Mono for Powerline"/>
      </rPr>
      <t xml:space="preserve">, </t>
    </r>
  </si>
  <si>
    <r>
      <t>'rolling_day_payments'</t>
    </r>
    <r>
      <rPr>
        <sz val="12"/>
        <color rgb="FF3B3B3B"/>
        <rFont val="Fira Mono for Powerline"/>
      </rPr>
      <t xml:space="preserve">, </t>
    </r>
  </si>
  <si>
    <r>
      <t>'day_payments_sum_lag_1'</t>
    </r>
    <r>
      <rPr>
        <sz val="12"/>
        <color rgb="FF3B3B3B"/>
        <rFont val="Fira Mono for Powerline"/>
      </rPr>
      <t>,</t>
    </r>
  </si>
  <si>
    <r>
      <t>'day_payments_sum_lag_2'</t>
    </r>
    <r>
      <rPr>
        <sz val="12"/>
        <color rgb="FF3B3B3B"/>
        <rFont val="Fira Mono for Powerline"/>
      </rPr>
      <t xml:space="preserve">, </t>
    </r>
  </si>
  <si>
    <r>
      <t>'day_payments_sum_lag_3'</t>
    </r>
    <r>
      <rPr>
        <sz val="12"/>
        <color rgb="FF3B3B3B"/>
        <rFont val="Fira Mono for Powerline"/>
      </rPr>
      <t>,</t>
    </r>
  </si>
  <si>
    <r>
      <t>'day_payments_sum_lag_4'</t>
    </r>
    <r>
      <rPr>
        <sz val="12"/>
        <color rgb="FF3B3B3B"/>
        <rFont val="Fira Mono for Powerline"/>
      </rPr>
      <t xml:space="preserve">, </t>
    </r>
  </si>
  <si>
    <r>
      <t>'day_payments_sum_lag_5'</t>
    </r>
    <r>
      <rPr>
        <sz val="12"/>
        <color rgb="FF3B3B3B"/>
        <rFont val="Fira Mono for Powerline"/>
      </rPr>
      <t>,</t>
    </r>
  </si>
  <si>
    <r>
      <t>'day_payments_sum_lag_6'</t>
    </r>
    <r>
      <rPr>
        <sz val="12"/>
        <color rgb="FF3B3B3B"/>
        <rFont val="Fira Mono for Powerline"/>
      </rPr>
      <t xml:space="preserve">, </t>
    </r>
  </si>
  <si>
    <t>'day_payments_sum_lag_7'</t>
  </si>
  <si>
    <t>'counterparties__parent_id_ufreq_mean'</t>
  </si>
  <si>
    <r>
      <t>account_id_ufreq_mean'</t>
    </r>
    <r>
      <rPr>
        <sz val="12"/>
        <color rgb="FF3B3B3B"/>
        <rFont val="Fira Mono for Powerline"/>
      </rPr>
      <t>,</t>
    </r>
  </si>
  <si>
    <t>feature_set_6</t>
  </si>
  <si>
    <t>top10_feature_set_6</t>
  </si>
  <si>
    <t>* исключены следующие признаки (как в feature_set_6):</t>
  </si>
  <si>
    <t>'day_of_month'</t>
  </si>
  <si>
    <t xml:space="preserve"> 'day_of_month_sin'</t>
  </si>
  <si>
    <t xml:space="preserve"> 'day_of_month_cos'</t>
  </si>
  <si>
    <t>добавлены признаки дня месяца и sin/cos</t>
  </si>
  <si>
    <t>feature_set_7</t>
  </si>
  <si>
    <t>#'day_donor_cat_id_nunique',</t>
  </si>
  <si>
    <r>
      <t>'account_id_ufreq_mean'</t>
    </r>
    <r>
      <rPr>
        <sz val="12"/>
        <color rgb="FF3B3B3B"/>
        <rFont val="Fira Mono for Powerline"/>
      </rPr>
      <t>,</t>
    </r>
    <r>
      <rPr>
        <sz val="12"/>
        <color rgb="FF008000"/>
        <rFont val="Fira Mono for Powerline"/>
      </rPr>
      <t># cols_to_drop_2+</t>
    </r>
  </si>
  <si>
    <r>
      <t>'counterparties__parent_id_ufreq_mean'</t>
    </r>
    <r>
      <rPr>
        <sz val="12"/>
        <color rgb="FF3B3B3B"/>
        <rFont val="Fira Mono for Powerline"/>
      </rPr>
      <t>,</t>
    </r>
  </si>
  <si>
    <r>
      <t>'day_of_month_sin'</t>
    </r>
    <r>
      <rPr>
        <sz val="12"/>
        <color rgb="FF3B3B3B"/>
        <rFont val="Fira Mono for Powerline"/>
      </rPr>
      <t>,</t>
    </r>
  </si>
  <si>
    <r>
      <t>'day_of_month_cos'</t>
    </r>
    <r>
      <rPr>
        <sz val="12"/>
        <color rgb="FF3B3B3B"/>
        <rFont val="Fira Mono for Powerline"/>
      </rPr>
      <t>,</t>
    </r>
  </si>
  <si>
    <r>
      <t>'day_of_week'</t>
    </r>
    <r>
      <rPr>
        <sz val="12"/>
        <color rgb="FF3B3B3B"/>
        <rFont val="Fira Mono for Powerline"/>
      </rPr>
      <t>,</t>
    </r>
  </si>
  <si>
    <r>
      <t>'week_number'</t>
    </r>
    <r>
      <rPr>
        <sz val="12"/>
        <color rgb="FF3B3B3B"/>
        <rFont val="Fira Mono for Powerline"/>
      </rPr>
      <t>,</t>
    </r>
  </si>
  <si>
    <t>feature_set_8</t>
  </si>
  <si>
    <t>признаки из таблиц 2 и 3</t>
  </si>
  <si>
    <t>Исключены категориальные признаки - номер дня в неделе и месяце и номер недели: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</si>
</sst>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rgb="FF3B3B3B"/>
      <name val="Fira Mono for Powerline"/>
    </font>
    <font>
      <sz val="12"/>
      <color rgb="FFA31515"/>
      <name val="Fira Mono for Powerline"/>
    </font>
    <font>
      <sz val="12"/>
      <color rgb="FF000000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8000"/>
      <name val="Fira Mono for Powerline"/>
    </font>
    <font>
      <sz val="8"/>
      <name val="Calibri"/>
      <family val="2"/>
      <charset val="204"/>
      <scheme val="minor"/>
    </font>
    <font>
      <sz val="12"/>
      <color theme="1"/>
      <name val="Fira Mono for Powerline"/>
    </font>
    <font>
      <sz val="12"/>
      <color rgb="FFC00000"/>
      <name val="Calibri"/>
      <family val="2"/>
      <charset val="20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/>
    <xf numFmtId="0" fontId="20" fillId="0" borderId="0" xfId="0" applyFont="1"/>
    <xf numFmtId="0" fontId="21" fillId="0" borderId="0" xfId="0" applyFont="1"/>
    <xf numFmtId="0" fontId="0" fillId="33" borderId="0" xfId="0" applyFill="1"/>
    <xf numFmtId="0" fontId="0" fillId="34" borderId="0" xfId="0" applyFill="1"/>
    <xf numFmtId="0" fontId="18" fillId="33" borderId="0" xfId="0" applyFont="1" applyFill="1"/>
    <xf numFmtId="0" fontId="18" fillId="34" borderId="0" xfId="0" applyFont="1" applyFill="1"/>
    <xf numFmtId="0" fontId="22" fillId="0" borderId="0" xfId="0" applyFont="1"/>
    <xf numFmtId="0" fontId="23" fillId="0" borderId="0" xfId="0" applyFont="1" applyAlignment="1">
      <alignment wrapText="1"/>
    </xf>
    <xf numFmtId="0" fontId="23" fillId="0" borderId="0" xfId="0" applyFont="1"/>
    <xf numFmtId="0" fontId="24" fillId="0" borderId="0" xfId="0" applyFont="1"/>
    <xf numFmtId="0" fontId="18" fillId="35" borderId="0" xfId="0" applyFont="1" applyFill="1"/>
    <xf numFmtId="0" fontId="0" fillId="35" borderId="0" xfId="0" applyFill="1"/>
    <xf numFmtId="0" fontId="25" fillId="0" borderId="0" xfId="0" applyFont="1"/>
    <xf numFmtId="0" fontId="20" fillId="0" borderId="0" xfId="0" quotePrefix="1" applyFont="1"/>
    <xf numFmtId="0" fontId="0" fillId="36" borderId="0" xfId="0" applyFill="1"/>
    <xf numFmtId="0" fontId="18" fillId="36" borderId="0" xfId="0" applyFont="1" applyFill="1"/>
    <xf numFmtId="0" fontId="21" fillId="36" borderId="0" xfId="0" applyFont="1" applyFill="1"/>
    <xf numFmtId="0" fontId="27" fillId="0" borderId="0" xfId="0" applyFont="1"/>
    <xf numFmtId="0" fontId="18" fillId="0" borderId="0" xfId="0" applyFont="1" applyFill="1"/>
    <xf numFmtId="0" fontId="0" fillId="0" borderId="0" xfId="0" applyFill="1"/>
    <xf numFmtId="0" fontId="18" fillId="37" borderId="0" xfId="0" applyFont="1" applyFill="1"/>
    <xf numFmtId="0" fontId="0" fillId="37" borderId="0" xfId="0" applyFill="1"/>
    <xf numFmtId="0" fontId="21" fillId="0" borderId="0" xfId="0" applyFont="1" applyAlignment="1">
      <alignment wrapText="1"/>
    </xf>
    <xf numFmtId="0" fontId="20" fillId="0" borderId="0" xfId="0" applyFont="1" applyFill="1"/>
    <xf numFmtId="0" fontId="21" fillId="0" borderId="0" xfId="0" applyFont="1" applyFill="1"/>
    <xf numFmtId="0" fontId="28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5A08-15C1-4946-8D36-E5E79C857488}">
  <dimension ref="A5:P69"/>
  <sheetViews>
    <sheetView workbookViewId="0">
      <selection activeCell="C38" sqref="C38"/>
    </sheetView>
  </sheetViews>
  <sheetFormatPr baseColWidth="10" defaultRowHeight="16" x14ac:dyDescent="0.2"/>
  <cols>
    <col min="1" max="1" width="17" customWidth="1"/>
    <col min="2" max="11" width="12.1640625" bestFit="1" customWidth="1"/>
    <col min="12" max="12" width="13" customWidth="1"/>
    <col min="13" max="16" width="12.1640625" bestFit="1" customWidth="1"/>
  </cols>
  <sheetData>
    <row r="5" spans="1:16" x14ac:dyDescent="0.2">
      <c r="A5" s="14" t="s">
        <v>83</v>
      </c>
    </row>
    <row r="6" spans="1:16" ht="51" x14ac:dyDescent="0.2">
      <c r="A6" t="s">
        <v>66</v>
      </c>
      <c r="B6" s="2" t="s">
        <v>1</v>
      </c>
      <c r="C6" s="1" t="s">
        <v>2</v>
      </c>
      <c r="D6" s="1" t="s">
        <v>3</v>
      </c>
      <c r="E6" s="2" t="s">
        <v>4</v>
      </c>
      <c r="F6" s="1" t="s">
        <v>5</v>
      </c>
      <c r="G6" s="1" t="s">
        <v>6</v>
      </c>
      <c r="H6" s="2" t="s">
        <v>7</v>
      </c>
      <c r="I6" s="1" t="s">
        <v>8</v>
      </c>
      <c r="J6" s="1" t="s">
        <v>9</v>
      </c>
      <c r="K6" s="2" t="s">
        <v>10</v>
      </c>
      <c r="L6" s="1" t="s">
        <v>11</v>
      </c>
      <c r="M6" s="1" t="s">
        <v>12</v>
      </c>
      <c r="N6" s="2" t="s">
        <v>13</v>
      </c>
      <c r="O6" s="1" t="s">
        <v>14</v>
      </c>
      <c r="P6" s="1" t="s">
        <v>15</v>
      </c>
    </row>
    <row r="7" spans="1:16" x14ac:dyDescent="0.2">
      <c r="A7" t="s">
        <v>67</v>
      </c>
      <c r="B7" s="3">
        <v>25864.213239299439</v>
      </c>
      <c r="C7">
        <v>132.04228617250874</v>
      </c>
      <c r="D7">
        <v>0.95763258735861023</v>
      </c>
      <c r="E7" s="3">
        <v>21756.51288526904</v>
      </c>
      <c r="F7">
        <v>122.5762731622614</v>
      </c>
      <c r="G7">
        <v>0.73957392432502678</v>
      </c>
      <c r="H7" s="3">
        <v>20153.609996973875</v>
      </c>
      <c r="I7">
        <v>122.09181447165355</v>
      </c>
      <c r="J7">
        <v>0.75132984816463066</v>
      </c>
      <c r="K7" s="3">
        <v>22408.707091133387</v>
      </c>
      <c r="L7">
        <v>126.28530225947432</v>
      </c>
      <c r="M7">
        <v>0.85941434501774006</v>
      </c>
      <c r="N7" s="3">
        <v>20806.498891520594</v>
      </c>
      <c r="O7">
        <v>123.47736328777874</v>
      </c>
      <c r="P7">
        <v>0.68564752906696691</v>
      </c>
    </row>
    <row r="8" spans="1:16" x14ac:dyDescent="0.2">
      <c r="A8" t="s">
        <v>68</v>
      </c>
      <c r="B8" s="3">
        <v>26610.936315862702</v>
      </c>
      <c r="C8">
        <v>134.43915061652623</v>
      </c>
      <c r="D8">
        <v>0.94711662088727289</v>
      </c>
      <c r="E8" s="3">
        <v>21756.51288526904</v>
      </c>
      <c r="F8">
        <v>122.5762731622614</v>
      </c>
      <c r="G8">
        <v>0.73957392432502678</v>
      </c>
      <c r="H8" s="3">
        <v>20284.355723326851</v>
      </c>
      <c r="I8">
        <v>123.36967523093787</v>
      </c>
      <c r="J8">
        <v>0.75472342434415296</v>
      </c>
      <c r="K8" s="3">
        <v>21918.175375303308</v>
      </c>
      <c r="L8">
        <v>126.89105649648354</v>
      </c>
      <c r="M8">
        <v>0.85434179113920861</v>
      </c>
      <c r="N8" s="3">
        <v>21409.524819864524</v>
      </c>
      <c r="O8">
        <v>125.60649437269532</v>
      </c>
      <c r="P8">
        <v>0.68372081661205053</v>
      </c>
    </row>
    <row r="9" spans="1:16" x14ac:dyDescent="0.2">
      <c r="A9" t="s">
        <v>69</v>
      </c>
      <c r="B9" s="3">
        <v>28794.401858538928</v>
      </c>
      <c r="C9">
        <v>134.23202354460909</v>
      </c>
      <c r="D9">
        <v>0.9228040306695825</v>
      </c>
      <c r="E9" s="3">
        <v>21756.51288526904</v>
      </c>
      <c r="F9">
        <v>122.5762731622614</v>
      </c>
      <c r="G9">
        <v>0.73957392432502678</v>
      </c>
      <c r="H9" s="3">
        <v>19803.195624367556</v>
      </c>
      <c r="I9">
        <v>123.55572873930143</v>
      </c>
      <c r="J9">
        <v>0.75973375737488491</v>
      </c>
      <c r="K9" s="3">
        <v>22450.961058931698</v>
      </c>
      <c r="L9">
        <v>126.56000947425338</v>
      </c>
      <c r="M9">
        <v>0.84919234676244348</v>
      </c>
      <c r="N9" s="3">
        <v>21123.340889489846</v>
      </c>
      <c r="O9">
        <v>126.81474105937971</v>
      </c>
      <c r="P9">
        <v>0.66909659773388874</v>
      </c>
    </row>
    <row r="10" spans="1:16" x14ac:dyDescent="0.2">
      <c r="A10" t="s">
        <v>78</v>
      </c>
      <c r="B10" s="3">
        <v>25838.084519242664</v>
      </c>
      <c r="C10">
        <v>131.73583382740571</v>
      </c>
      <c r="D10">
        <v>0.96651427835208148</v>
      </c>
      <c r="E10" s="3">
        <v>21756.51288526904</v>
      </c>
      <c r="F10">
        <v>122.5762731622614</v>
      </c>
      <c r="G10">
        <v>0.73957392432502678</v>
      </c>
      <c r="H10" s="3">
        <v>20232.842362707637</v>
      </c>
      <c r="I10">
        <v>123.83458794786475</v>
      </c>
      <c r="J10">
        <v>0.76614793613793386</v>
      </c>
      <c r="K10" s="3">
        <v>22264.586851275708</v>
      </c>
      <c r="L10">
        <v>126.13396742406903</v>
      </c>
      <c r="M10">
        <v>0.8465994134058209</v>
      </c>
      <c r="N10" s="3">
        <v>21692.398615915179</v>
      </c>
      <c r="O10">
        <v>126.94019519630828</v>
      </c>
      <c r="P10">
        <v>0.69095580878617646</v>
      </c>
    </row>
    <row r="11" spans="1:16" x14ac:dyDescent="0.2">
      <c r="A11" t="s">
        <v>79</v>
      </c>
      <c r="B11" s="3">
        <v>28795.707803114812</v>
      </c>
      <c r="C11">
        <v>135.92133633792358</v>
      </c>
      <c r="D11">
        <v>0.99243537672570958</v>
      </c>
      <c r="E11" s="3">
        <v>21756.51288526904</v>
      </c>
      <c r="F11">
        <v>122.5762731622614</v>
      </c>
      <c r="G11">
        <v>0.73957392432502678</v>
      </c>
      <c r="H11" s="3">
        <v>20243.522331633536</v>
      </c>
      <c r="I11">
        <v>123.0658180355554</v>
      </c>
      <c r="J11">
        <v>0.75322667592301318</v>
      </c>
      <c r="K11" s="3">
        <v>22005.414018889431</v>
      </c>
      <c r="L11">
        <v>123.95017064525099</v>
      </c>
      <c r="M11">
        <v>0.85809163183398129</v>
      </c>
      <c r="N11" s="3">
        <v>21973.64484069074</v>
      </c>
      <c r="O11">
        <v>124.99778103457851</v>
      </c>
      <c r="P11">
        <v>0.68603597131611493</v>
      </c>
    </row>
    <row r="12" spans="1:16" x14ac:dyDescent="0.2">
      <c r="A12" t="s">
        <v>90</v>
      </c>
      <c r="B12" s="3">
        <v>28952.784677840762</v>
      </c>
      <c r="C12">
        <v>136.40950880944678</v>
      </c>
      <c r="D12">
        <v>0.94679494357601546</v>
      </c>
      <c r="E12" s="3">
        <v>21756.51288526904</v>
      </c>
      <c r="F12">
        <v>122.5762731622614</v>
      </c>
      <c r="G12">
        <v>0.73957392432502678</v>
      </c>
      <c r="H12" s="3">
        <v>20057.89935875791</v>
      </c>
      <c r="I12">
        <v>123.72676485305202</v>
      </c>
      <c r="J12">
        <v>0.75449226951778514</v>
      </c>
      <c r="K12" s="3">
        <v>22403.799553148387</v>
      </c>
      <c r="L12">
        <v>124.13999279380032</v>
      </c>
      <c r="M12">
        <v>0.79742695371629968</v>
      </c>
      <c r="N12" s="3">
        <v>21519.650005973104</v>
      </c>
      <c r="O12">
        <v>125.27494525435715</v>
      </c>
      <c r="P12">
        <v>0.66593067630864267</v>
      </c>
    </row>
    <row r="13" spans="1:16" x14ac:dyDescent="0.2">
      <c r="A13" t="s">
        <v>91</v>
      </c>
      <c r="B13" s="3">
        <v>29739.599525505007</v>
      </c>
      <c r="C13">
        <v>136.53890024870591</v>
      </c>
      <c r="D13">
        <v>0.97413462738485446</v>
      </c>
      <c r="E13" s="3">
        <v>21756.51288526904</v>
      </c>
      <c r="F13">
        <v>122.5762731622614</v>
      </c>
      <c r="G13">
        <v>0.73957392432502678</v>
      </c>
      <c r="H13" s="3">
        <v>20023.346027303462</v>
      </c>
      <c r="I13">
        <v>123.55275098206133</v>
      </c>
      <c r="J13">
        <v>0.74780842339161069</v>
      </c>
      <c r="K13" s="3">
        <v>22272.464589733634</v>
      </c>
      <c r="L13">
        <v>124.92178602687704</v>
      </c>
      <c r="M13">
        <v>0.83536943213098491</v>
      </c>
      <c r="N13" s="3">
        <v>21342.489276399981</v>
      </c>
      <c r="O13">
        <v>129.28140085879164</v>
      </c>
      <c r="P13">
        <v>0.6799717175318013</v>
      </c>
    </row>
    <row r="14" spans="1:16" x14ac:dyDescent="0.2">
      <c r="A14" t="s">
        <v>135</v>
      </c>
      <c r="B14" s="3">
        <v>28230.868025565942</v>
      </c>
      <c r="C14">
        <v>137.58186511695345</v>
      </c>
      <c r="D14">
        <v>0.9134207442923904</v>
      </c>
      <c r="E14" s="3">
        <v>21756.51288526904</v>
      </c>
      <c r="F14">
        <v>122.5762731622614</v>
      </c>
      <c r="G14">
        <v>0.73957392432502678</v>
      </c>
      <c r="H14" s="3">
        <v>20126.761978818402</v>
      </c>
      <c r="I14">
        <v>124.12918532868292</v>
      </c>
      <c r="J14">
        <v>0.74250122151795517</v>
      </c>
      <c r="K14" s="3">
        <v>22479.939948198258</v>
      </c>
      <c r="L14">
        <v>126.65452821670503</v>
      </c>
      <c r="M14">
        <v>0.83580848744339586</v>
      </c>
      <c r="N14" s="3">
        <v>21052.935210543146</v>
      </c>
      <c r="O14">
        <v>125.1083550096586</v>
      </c>
      <c r="P14">
        <v>0.68925044733746832</v>
      </c>
    </row>
    <row r="15" spans="1:16" x14ac:dyDescent="0.2">
      <c r="A15" t="s">
        <v>142</v>
      </c>
      <c r="B15" s="3">
        <v>28153.262754249743</v>
      </c>
      <c r="C15">
        <v>136.66801750659909</v>
      </c>
      <c r="D15">
        <v>0.92675829771820972</v>
      </c>
      <c r="E15" s="3">
        <v>21756.51288526904</v>
      </c>
      <c r="F15">
        <v>122.5762731622614</v>
      </c>
      <c r="G15">
        <v>0.73957392432502678</v>
      </c>
      <c r="H15" s="3">
        <v>20053.324312844838</v>
      </c>
      <c r="I15">
        <v>123.34548841204447</v>
      </c>
      <c r="J15">
        <v>0.76644266800160521</v>
      </c>
      <c r="K15" s="3">
        <v>21527.884507818912</v>
      </c>
      <c r="L15">
        <v>126.16924789666169</v>
      </c>
      <c r="M15">
        <v>0.84965084634511601</v>
      </c>
      <c r="N15" s="3">
        <v>21819.749878123686</v>
      </c>
      <c r="O15">
        <v>127.39921948143585</v>
      </c>
      <c r="P15">
        <v>0.70278552214979106</v>
      </c>
    </row>
    <row r="16" spans="1:16" x14ac:dyDescent="0.2">
      <c r="A16" t="s">
        <v>150</v>
      </c>
      <c r="B16" s="3">
        <v>28473.960203427247</v>
      </c>
      <c r="C16">
        <v>135.9958324581381</v>
      </c>
      <c r="D16">
        <v>0.95321136929770922</v>
      </c>
      <c r="E16" s="3">
        <v>21756.51288526904</v>
      </c>
      <c r="F16">
        <v>122.5762731622614</v>
      </c>
      <c r="G16">
        <v>0.73957392432502678</v>
      </c>
      <c r="H16" s="3">
        <v>19756.704200291944</v>
      </c>
      <c r="I16">
        <v>123.32780929600776</v>
      </c>
      <c r="J16">
        <v>0.75311100332383418</v>
      </c>
      <c r="K16" s="3">
        <v>21932.392277694544</v>
      </c>
      <c r="L16">
        <v>125.96343974229396</v>
      </c>
      <c r="M16">
        <v>0.85474334855225398</v>
      </c>
      <c r="N16" s="3">
        <v>21657.682278297387</v>
      </c>
      <c r="O16">
        <v>126.1960151076054</v>
      </c>
      <c r="P16">
        <v>0.68761032535327671</v>
      </c>
    </row>
    <row r="17" spans="1:16" x14ac:dyDescent="0.2">
      <c r="B17" s="3"/>
      <c r="E17" s="3"/>
      <c r="H17" s="3"/>
      <c r="K17" s="3"/>
      <c r="N17" s="3"/>
    </row>
    <row r="19" spans="1:16" x14ac:dyDescent="0.2">
      <c r="A19" s="15" t="s">
        <v>84</v>
      </c>
    </row>
    <row r="20" spans="1:16" ht="51" x14ac:dyDescent="0.2">
      <c r="A20" t="s">
        <v>66</v>
      </c>
      <c r="B20" s="2" t="s">
        <v>1</v>
      </c>
      <c r="C20" s="1" t="s">
        <v>2</v>
      </c>
      <c r="D20" s="1" t="s">
        <v>3</v>
      </c>
      <c r="E20" s="2" t="s">
        <v>4</v>
      </c>
      <c r="F20" s="1" t="s">
        <v>5</v>
      </c>
      <c r="G20" s="1" t="s">
        <v>6</v>
      </c>
      <c r="H20" s="2" t="s">
        <v>7</v>
      </c>
      <c r="I20" s="1" t="s">
        <v>8</v>
      </c>
      <c r="J20" s="1" t="s">
        <v>9</v>
      </c>
      <c r="K20" s="2" t="s">
        <v>10</v>
      </c>
      <c r="L20" s="1" t="s">
        <v>11</v>
      </c>
      <c r="M20" s="1" t="s">
        <v>12</v>
      </c>
      <c r="N20" s="2" t="s">
        <v>13</v>
      </c>
      <c r="O20" s="1" t="s">
        <v>14</v>
      </c>
      <c r="P20" s="1" t="s">
        <v>15</v>
      </c>
    </row>
    <row r="21" spans="1:16" s="23" customFormat="1" x14ac:dyDescent="0.2">
      <c r="A21" s="23" t="s">
        <v>67</v>
      </c>
      <c r="B21" s="22">
        <v>1.9877757162554817</v>
      </c>
      <c r="C21" s="23">
        <v>132.04228617250874</v>
      </c>
      <c r="D21" s="23">
        <v>0.95763258735861023</v>
      </c>
      <c r="E21" s="22">
        <v>1.1752747859998307</v>
      </c>
      <c r="F21" s="23">
        <v>122.5762731622614</v>
      </c>
      <c r="G21" s="23">
        <v>0.73957392432502678</v>
      </c>
      <c r="H21" s="22">
        <v>1.2924429776641866</v>
      </c>
      <c r="I21" s="23">
        <v>122.09181447165355</v>
      </c>
      <c r="J21" s="23">
        <v>0.75132984816463066</v>
      </c>
      <c r="K21" s="22">
        <v>1.3738180231182275</v>
      </c>
      <c r="L21" s="23">
        <v>126.28530225947432</v>
      </c>
      <c r="M21" s="23">
        <v>0.85941434501774006</v>
      </c>
      <c r="N21" s="22">
        <v>1.0954465571004053</v>
      </c>
      <c r="O21" s="23">
        <v>123.47736328777874</v>
      </c>
      <c r="P21" s="23">
        <v>0.68564752906696691</v>
      </c>
    </row>
    <row r="22" spans="1:16" s="23" customFormat="1" x14ac:dyDescent="0.2">
      <c r="A22" s="23" t="s">
        <v>68</v>
      </c>
      <c r="B22" s="22">
        <v>2.2548856284533429</v>
      </c>
      <c r="C22" s="23">
        <v>134.43915061652623</v>
      </c>
      <c r="D22" s="23">
        <v>0.94711662088727289</v>
      </c>
      <c r="E22" s="22">
        <v>1.3321474199274206</v>
      </c>
      <c r="F22" s="23">
        <v>122.5762731622614</v>
      </c>
      <c r="G22" s="23">
        <v>0.73957392432502678</v>
      </c>
      <c r="H22" s="22">
        <v>1.5861147283310377</v>
      </c>
      <c r="I22" s="23">
        <v>123.36967523093787</v>
      </c>
      <c r="J22" s="23">
        <v>0.75472342434415296</v>
      </c>
      <c r="K22" s="22">
        <v>1.641090853969859</v>
      </c>
      <c r="L22" s="23">
        <v>126.89105649648354</v>
      </c>
      <c r="M22" s="23">
        <v>0.85434179113920861</v>
      </c>
      <c r="N22" s="22">
        <v>1.1240278524512797</v>
      </c>
      <c r="O22" s="23">
        <v>125.60649437269532</v>
      </c>
      <c r="P22" s="23">
        <v>0.68372081661205053</v>
      </c>
    </row>
    <row r="23" spans="1:16" s="23" customFormat="1" x14ac:dyDescent="0.2">
      <c r="A23" s="23" t="s">
        <v>69</v>
      </c>
      <c r="B23" s="22">
        <v>1.6608782947951524</v>
      </c>
      <c r="C23" s="23">
        <v>134.23202354460909</v>
      </c>
      <c r="D23" s="23">
        <v>0.9228040306695825</v>
      </c>
      <c r="E23" s="22">
        <v>1.1474047975867738</v>
      </c>
      <c r="F23" s="23">
        <v>122.5762731622614</v>
      </c>
      <c r="G23" s="23">
        <v>0.73957392432502678</v>
      </c>
      <c r="H23" s="22">
        <v>1.2626586375982454</v>
      </c>
      <c r="I23" s="23">
        <v>123.55572873930143</v>
      </c>
      <c r="J23" s="23">
        <v>0.75973375737488491</v>
      </c>
      <c r="K23" s="22">
        <v>1.2641460661028181</v>
      </c>
      <c r="L23" s="23">
        <v>126.56000947425338</v>
      </c>
      <c r="M23" s="23">
        <v>0.84919234676244348</v>
      </c>
      <c r="N23" s="22">
        <v>1.1089783403251359</v>
      </c>
      <c r="O23" s="23">
        <v>126.81474105937971</v>
      </c>
      <c r="P23" s="23">
        <v>0.66909659773388874</v>
      </c>
    </row>
    <row r="24" spans="1:16" s="23" customFormat="1" x14ac:dyDescent="0.2">
      <c r="A24" s="23" t="s">
        <v>78</v>
      </c>
      <c r="B24" s="22">
        <v>1.8451075754066346</v>
      </c>
      <c r="C24" s="23">
        <v>131.73583382740571</v>
      </c>
      <c r="D24" s="23">
        <v>0.96651427835208148</v>
      </c>
      <c r="E24" s="22">
        <v>1.1377282709552297</v>
      </c>
      <c r="F24" s="23">
        <v>122.5762731622614</v>
      </c>
      <c r="G24" s="23">
        <v>0.73957392432502678</v>
      </c>
      <c r="H24" s="22">
        <v>1.3097853222844251</v>
      </c>
      <c r="I24" s="23">
        <v>123.83458794786475</v>
      </c>
      <c r="J24" s="23">
        <v>0.76614793613793386</v>
      </c>
      <c r="K24" s="22">
        <v>1.2554937352114384</v>
      </c>
      <c r="L24" s="23">
        <v>126.13396742406903</v>
      </c>
      <c r="M24" s="23">
        <v>0.8465994134058209</v>
      </c>
      <c r="N24" s="22">
        <v>1.1225204962027207</v>
      </c>
      <c r="O24" s="23">
        <v>126.94019519630828</v>
      </c>
      <c r="P24" s="23">
        <v>0.69095580878617646</v>
      </c>
    </row>
    <row r="25" spans="1:16" s="23" customFormat="1" x14ac:dyDescent="0.2">
      <c r="A25" s="23" t="s">
        <v>79</v>
      </c>
      <c r="B25" s="22">
        <v>1.7386382241079763</v>
      </c>
      <c r="C25" s="23">
        <v>135.92133633792358</v>
      </c>
      <c r="D25" s="23">
        <v>0.99243537672570958</v>
      </c>
      <c r="E25" s="24">
        <v>1.1017038775883323</v>
      </c>
      <c r="F25" s="23">
        <v>122.5762731622614</v>
      </c>
      <c r="G25" s="23">
        <v>0.73957392432502678</v>
      </c>
      <c r="H25" s="24">
        <v>1.2014330837462195</v>
      </c>
      <c r="I25" s="23">
        <v>123.0658180355554</v>
      </c>
      <c r="J25" s="23">
        <v>0.75322667592301318</v>
      </c>
      <c r="K25" s="22">
        <v>1.2575700552433944</v>
      </c>
      <c r="L25" s="23">
        <v>123.95017064525099</v>
      </c>
      <c r="M25" s="23">
        <v>0.85809163183398129</v>
      </c>
      <c r="N25" s="22">
        <v>1.1133707183759887</v>
      </c>
      <c r="O25" s="23">
        <v>124.99778103457851</v>
      </c>
      <c r="P25" s="23">
        <v>0.68603597131611493</v>
      </c>
    </row>
    <row r="26" spans="1:16" s="23" customFormat="1" x14ac:dyDescent="0.2">
      <c r="A26" s="23" t="s">
        <v>90</v>
      </c>
      <c r="B26" s="22">
        <v>1.7107089247828124</v>
      </c>
      <c r="C26" s="23">
        <v>136.40950880944678</v>
      </c>
      <c r="D26" s="23">
        <v>0.94679494357601546</v>
      </c>
      <c r="E26" s="22">
        <v>1.1493621717229712</v>
      </c>
      <c r="F26" s="23">
        <v>122.5762731622614</v>
      </c>
      <c r="G26" s="23">
        <v>0.73957392432502678</v>
      </c>
      <c r="H26" s="22">
        <v>1.2916739220934175</v>
      </c>
      <c r="I26" s="23">
        <v>123.72676485305202</v>
      </c>
      <c r="J26" s="23">
        <v>0.75449226951778514</v>
      </c>
      <c r="K26" s="22">
        <v>1.1838463148206957</v>
      </c>
      <c r="L26" s="23">
        <v>124.13999279380032</v>
      </c>
      <c r="M26" s="25">
        <v>0.79742695371629968</v>
      </c>
      <c r="N26" s="22">
        <v>1.1289405310748464</v>
      </c>
      <c r="O26" s="23">
        <v>125.27494525435715</v>
      </c>
      <c r="P26" s="25">
        <v>0.66593067630864267</v>
      </c>
    </row>
    <row r="27" spans="1:16" s="23" customFormat="1" x14ac:dyDescent="0.2">
      <c r="A27" s="23" t="s">
        <v>91</v>
      </c>
      <c r="B27" s="22">
        <v>1.8774558385835909</v>
      </c>
      <c r="C27" s="23">
        <v>136.53890024870591</v>
      </c>
      <c r="D27" s="23">
        <v>0.97413462738485446</v>
      </c>
      <c r="E27" s="22">
        <v>1.3662032610322243</v>
      </c>
      <c r="F27" s="23">
        <v>122.5762731622614</v>
      </c>
      <c r="G27" s="23">
        <v>0.73957392432502678</v>
      </c>
      <c r="H27" s="22">
        <v>1.5550843411985007</v>
      </c>
      <c r="I27" s="23">
        <v>123.55275098206133</v>
      </c>
      <c r="J27" s="23">
        <v>0.74780842339161069</v>
      </c>
      <c r="K27" s="22">
        <v>1.6003408174448868</v>
      </c>
      <c r="L27" s="23">
        <v>124.92178602687704</v>
      </c>
      <c r="M27" s="23">
        <v>0.83536943213098491</v>
      </c>
      <c r="N27" s="22">
        <v>1.1083773624971152</v>
      </c>
      <c r="O27" s="23">
        <v>129.28140085879164</v>
      </c>
      <c r="P27" s="23">
        <v>0.6799717175318013</v>
      </c>
    </row>
    <row r="28" spans="1:16" s="23" customFormat="1" x14ac:dyDescent="0.2">
      <c r="A28" s="23" t="s">
        <v>135</v>
      </c>
      <c r="B28" s="22">
        <v>1.6641419498112748</v>
      </c>
      <c r="C28" s="23">
        <v>137.58186511695345</v>
      </c>
      <c r="D28" s="25">
        <v>0.9134207442923904</v>
      </c>
      <c r="E28" s="22">
        <v>1.1612700429044329</v>
      </c>
      <c r="F28" s="23">
        <v>122.5762731622614</v>
      </c>
      <c r="G28" s="23">
        <v>0.73957392432502678</v>
      </c>
      <c r="H28" s="22">
        <v>1.2478301698422698</v>
      </c>
      <c r="I28" s="23">
        <v>124.12918532868292</v>
      </c>
      <c r="J28" s="25">
        <v>0.74250122151795517</v>
      </c>
      <c r="K28" s="24">
        <v>1.2060756736491531</v>
      </c>
      <c r="L28" s="23">
        <v>126.65452821670503</v>
      </c>
      <c r="M28" s="23">
        <v>0.83580848744339586</v>
      </c>
      <c r="N28" s="24">
        <v>1.1039481791896757</v>
      </c>
      <c r="O28" s="23">
        <v>125.1083550096586</v>
      </c>
      <c r="P28" s="23">
        <v>0.68925044733746832</v>
      </c>
    </row>
    <row r="29" spans="1:16" s="23" customFormat="1" x14ac:dyDescent="0.2">
      <c r="A29" s="23" t="s">
        <v>142</v>
      </c>
      <c r="B29" s="24">
        <v>1.5851555291276995</v>
      </c>
      <c r="C29" s="23">
        <v>136.66801750659909</v>
      </c>
      <c r="D29" s="23">
        <v>0.92675829771820972</v>
      </c>
      <c r="E29" s="22">
        <v>1.1521147650530326</v>
      </c>
      <c r="F29" s="23">
        <v>122.5762731622614</v>
      </c>
      <c r="G29" s="23">
        <v>0.73957392432502678</v>
      </c>
      <c r="H29" s="22">
        <v>1.3041375505460979</v>
      </c>
      <c r="I29" s="23">
        <v>123.34548841204447</v>
      </c>
      <c r="J29" s="23">
        <v>0.76644266800160521</v>
      </c>
      <c r="K29" s="22">
        <v>1.3156353616202092</v>
      </c>
      <c r="L29" s="23">
        <v>126.16924789666169</v>
      </c>
      <c r="M29" s="23">
        <v>0.84965084634511601</v>
      </c>
      <c r="N29" s="22">
        <v>1.1517086538216539</v>
      </c>
      <c r="O29" s="23">
        <v>127.39921948143585</v>
      </c>
      <c r="P29" s="23">
        <v>0.70278552214979106</v>
      </c>
    </row>
    <row r="30" spans="1:16" x14ac:dyDescent="0.2">
      <c r="A30" t="s">
        <v>150</v>
      </c>
      <c r="B30" s="3">
        <v>1.6052752471808744</v>
      </c>
      <c r="C30">
        <v>133.93118189227158</v>
      </c>
      <c r="D30">
        <v>0.95388170498431613</v>
      </c>
      <c r="E30" s="3">
        <v>1.1273975203579225</v>
      </c>
      <c r="F30">
        <v>120.07873358685048</v>
      </c>
      <c r="G30">
        <v>0.75134655118918225</v>
      </c>
      <c r="H30" s="3">
        <v>1.2349631710763211</v>
      </c>
      <c r="I30">
        <v>120.85451282168543</v>
      </c>
      <c r="J30">
        <v>0.75842011803744658</v>
      </c>
      <c r="K30" s="3">
        <v>1.2530330600136836</v>
      </c>
      <c r="L30">
        <v>123.5751636049486</v>
      </c>
      <c r="M30">
        <v>0.86339091365776466</v>
      </c>
      <c r="N30" s="3">
        <v>1.1459932061051108</v>
      </c>
      <c r="O30">
        <v>123.81524140139912</v>
      </c>
      <c r="P30">
        <v>0.70908585497597854</v>
      </c>
    </row>
    <row r="36" spans="2:16" x14ac:dyDescent="0.2">
      <c r="B36" s="3"/>
      <c r="E36" s="3"/>
      <c r="H36" s="3"/>
      <c r="K36" s="3"/>
      <c r="N36" s="3"/>
    </row>
    <row r="37" spans="2:16" x14ac:dyDescent="0.2">
      <c r="B37" s="3"/>
      <c r="E37" s="3"/>
      <c r="H37" s="3"/>
      <c r="K37" s="3"/>
      <c r="N37" s="3"/>
    </row>
    <row r="38" spans="2:16" x14ac:dyDescent="0.2">
      <c r="B38" s="3"/>
      <c r="E38" s="3"/>
      <c r="H38" s="3"/>
      <c r="K38" s="3"/>
      <c r="N38" s="3"/>
    </row>
    <row r="39" spans="2:16" x14ac:dyDescent="0.2">
      <c r="B39" s="3"/>
      <c r="C39" s="10"/>
      <c r="D39" s="10"/>
      <c r="E39" s="3"/>
      <c r="F39" s="10"/>
      <c r="G39" s="10"/>
      <c r="H39" s="3"/>
      <c r="K39" s="3"/>
      <c r="N39" s="3"/>
      <c r="O39" s="10"/>
      <c r="P39" s="10"/>
    </row>
    <row r="40" spans="2:16" x14ac:dyDescent="0.2">
      <c r="B40" s="3"/>
      <c r="C40" s="10"/>
      <c r="D40" s="10"/>
      <c r="E40" s="3"/>
      <c r="F40" s="10"/>
      <c r="G40" s="10"/>
      <c r="H40" s="3"/>
      <c r="I40" s="10"/>
      <c r="J40" s="10"/>
      <c r="K40" s="3"/>
      <c r="L40" s="10"/>
      <c r="M40" s="10"/>
      <c r="N40" s="3"/>
      <c r="O40" s="10"/>
      <c r="P40" s="10"/>
    </row>
    <row r="41" spans="2:16" x14ac:dyDescent="0.2">
      <c r="B41" s="3"/>
      <c r="C41" s="10"/>
      <c r="D41" s="10"/>
      <c r="E41" s="3"/>
      <c r="F41" s="10"/>
      <c r="G41" s="10"/>
      <c r="H41" s="3"/>
      <c r="I41" s="10"/>
      <c r="J41" s="10"/>
      <c r="K41" s="3"/>
      <c r="L41" s="10"/>
      <c r="M41" s="10"/>
      <c r="N41" s="3"/>
      <c r="O41" s="10"/>
      <c r="P41" s="10"/>
    </row>
    <row r="42" spans="2:16" x14ac:dyDescent="0.2">
      <c r="B42" s="3"/>
      <c r="C42" s="10"/>
      <c r="D42" s="10"/>
      <c r="E42" s="3"/>
      <c r="F42" s="10"/>
      <c r="G42" s="10"/>
      <c r="H42" s="3"/>
      <c r="I42" s="10"/>
      <c r="J42" s="10"/>
      <c r="K42" s="3"/>
      <c r="L42" s="10"/>
      <c r="M42" s="10"/>
      <c r="N42" s="3"/>
      <c r="O42" s="10"/>
      <c r="P42" s="10"/>
    </row>
    <row r="43" spans="2:16" x14ac:dyDescent="0.2">
      <c r="B43" s="3"/>
      <c r="C43" s="10"/>
      <c r="D43" s="10"/>
      <c r="E43" s="3"/>
      <c r="F43" s="10"/>
      <c r="G43" s="10"/>
      <c r="H43" s="3"/>
      <c r="I43" s="10"/>
      <c r="J43" s="10"/>
      <c r="K43" s="3"/>
      <c r="L43" s="10"/>
      <c r="M43" s="10"/>
      <c r="N43" s="3"/>
      <c r="O43" s="10"/>
      <c r="P43" s="10"/>
    </row>
    <row r="44" spans="2:16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2:16" x14ac:dyDescent="0.2">
      <c r="B45" s="3"/>
      <c r="C45" s="10"/>
      <c r="D45" s="10"/>
      <c r="E45" s="3"/>
      <c r="F45" s="10"/>
      <c r="G45" s="10"/>
      <c r="H45" s="3"/>
      <c r="I45" s="10"/>
      <c r="J45" s="10"/>
      <c r="K45" s="3"/>
      <c r="L45" s="10"/>
      <c r="M45" s="10"/>
      <c r="N45" s="3"/>
      <c r="O45" s="10"/>
      <c r="P45" s="10"/>
    </row>
    <row r="46" spans="2:16" x14ac:dyDescent="0.2">
      <c r="B46" s="3"/>
      <c r="C46" s="10"/>
      <c r="D46" s="10"/>
      <c r="E46" s="3"/>
      <c r="F46" s="10"/>
      <c r="G46" s="10"/>
      <c r="H46" s="3"/>
      <c r="I46" s="10"/>
      <c r="J46" s="10"/>
      <c r="K46" s="3"/>
      <c r="L46" s="10"/>
      <c r="M46" s="10"/>
      <c r="N46" s="3"/>
      <c r="O46" s="10"/>
      <c r="P46" s="10"/>
    </row>
    <row r="47" spans="2:16" x14ac:dyDescent="0.2">
      <c r="B47" s="3"/>
      <c r="C47" s="10"/>
      <c r="D47" s="10"/>
      <c r="E47" s="3"/>
      <c r="F47" s="10"/>
      <c r="G47" s="10"/>
      <c r="H47" s="3"/>
      <c r="I47" s="10"/>
      <c r="J47" s="10"/>
      <c r="K47" s="3"/>
      <c r="L47" s="10"/>
      <c r="M47" s="10"/>
      <c r="N47" s="3"/>
      <c r="O47" s="10"/>
      <c r="P47" s="10"/>
    </row>
    <row r="48" spans="2:16" x14ac:dyDescent="0.2">
      <c r="B48" s="3"/>
      <c r="C48" s="10"/>
      <c r="D48" s="10"/>
      <c r="E48" s="3"/>
      <c r="F48" s="10"/>
      <c r="G48" s="10"/>
      <c r="H48" s="3"/>
      <c r="I48" s="10"/>
      <c r="J48" s="10"/>
      <c r="K48" s="3"/>
      <c r="L48" s="10"/>
      <c r="M48" s="10"/>
      <c r="N48" s="3"/>
      <c r="O48" s="10"/>
      <c r="P48" s="10"/>
    </row>
    <row r="49" spans="2:16" x14ac:dyDescent="0.2">
      <c r="B49" s="3"/>
      <c r="C49" s="10"/>
      <c r="D49" s="10"/>
      <c r="E49" s="3"/>
      <c r="F49" s="10"/>
      <c r="G49" s="10"/>
      <c r="H49" s="3"/>
      <c r="I49" s="10"/>
      <c r="J49" s="10"/>
      <c r="K49" s="3"/>
      <c r="L49" s="10"/>
      <c r="M49" s="10"/>
      <c r="N49" s="3"/>
      <c r="O49" s="10"/>
      <c r="P49" s="10"/>
    </row>
    <row r="50" spans="2:16" x14ac:dyDescent="0.2">
      <c r="B50" s="3"/>
      <c r="C50" s="10"/>
      <c r="D50" s="10"/>
      <c r="E50" s="3"/>
      <c r="F50" s="10"/>
      <c r="G50" s="10"/>
      <c r="H50" s="3"/>
      <c r="I50" s="10"/>
      <c r="J50" s="10"/>
      <c r="K50" s="3"/>
      <c r="L50" s="10"/>
      <c r="M50" s="10"/>
      <c r="N50" s="3"/>
      <c r="O50" s="10"/>
      <c r="P50" s="10"/>
    </row>
    <row r="51" spans="2:16" x14ac:dyDescent="0.2">
      <c r="B51" s="3"/>
      <c r="C51" s="10"/>
      <c r="D51" s="10"/>
      <c r="E51" s="3"/>
      <c r="F51" s="10"/>
      <c r="G51" s="10"/>
      <c r="H51" s="3"/>
      <c r="I51" s="10"/>
      <c r="J51" s="10"/>
      <c r="K51" s="3"/>
      <c r="L51" s="10"/>
      <c r="M51" s="10"/>
      <c r="N51" s="3"/>
      <c r="O51" s="10"/>
      <c r="P51" s="10"/>
    </row>
    <row r="52" spans="2:16" x14ac:dyDescent="0.2">
      <c r="B52" s="3"/>
      <c r="C52" s="10"/>
      <c r="D52" s="10"/>
      <c r="E52" s="3"/>
      <c r="F52" s="10"/>
      <c r="G52" s="10"/>
      <c r="H52" s="3"/>
      <c r="I52" s="10"/>
      <c r="J52" s="10"/>
      <c r="K52" s="3"/>
      <c r="L52" s="10"/>
      <c r="M52" s="10"/>
      <c r="N52" s="3"/>
      <c r="O52" s="10"/>
      <c r="P52" s="10"/>
    </row>
    <row r="53" spans="2:16" x14ac:dyDescent="0.2">
      <c r="B53" s="3"/>
      <c r="C53" s="10"/>
      <c r="D53" s="10"/>
      <c r="E53" s="3"/>
      <c r="F53" s="10"/>
      <c r="G53" s="10"/>
      <c r="H53" s="3"/>
      <c r="I53" s="10"/>
      <c r="J53" s="10"/>
      <c r="K53" s="3"/>
      <c r="L53" s="10"/>
      <c r="M53" s="10"/>
      <c r="N53" s="3"/>
      <c r="O53" s="10"/>
      <c r="P53" s="10"/>
    </row>
    <row r="54" spans="2:16" x14ac:dyDescent="0.2">
      <c r="B54" s="3"/>
      <c r="C54" s="10"/>
      <c r="D54" s="10"/>
      <c r="E54" s="3"/>
      <c r="F54" s="10"/>
      <c r="G54" s="10"/>
      <c r="H54" s="3"/>
      <c r="I54" s="10"/>
      <c r="J54" s="10"/>
      <c r="K54" s="3"/>
      <c r="L54" s="10"/>
      <c r="M54" s="10"/>
      <c r="N54" s="3"/>
      <c r="O54" s="10"/>
      <c r="P54" s="10"/>
    </row>
    <row r="55" spans="2:16" x14ac:dyDescent="0.2">
      <c r="B55" s="3"/>
      <c r="C55" s="10"/>
      <c r="D55" s="10"/>
      <c r="E55" s="3"/>
      <c r="F55" s="10"/>
      <c r="G55" s="10"/>
      <c r="H55" s="3"/>
      <c r="I55" s="10"/>
      <c r="J55" s="10"/>
      <c r="K55" s="3"/>
      <c r="L55" s="10"/>
      <c r="M55" s="10"/>
      <c r="N55" s="3"/>
      <c r="O55" s="10"/>
      <c r="P55" s="10"/>
    </row>
    <row r="56" spans="2:16" x14ac:dyDescent="0.2">
      <c r="B56" s="3"/>
      <c r="C56" s="10"/>
      <c r="D56" s="10"/>
      <c r="E56" s="3"/>
      <c r="F56" s="10"/>
      <c r="G56" s="10"/>
      <c r="H56" s="3"/>
      <c r="I56" s="10"/>
      <c r="J56" s="10"/>
      <c r="K56" s="3"/>
      <c r="L56" s="10"/>
      <c r="M56" s="10"/>
      <c r="N56" s="3"/>
      <c r="O56" s="10"/>
      <c r="P56" s="10"/>
    </row>
    <row r="57" spans="2:16" x14ac:dyDescent="0.2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2:16" x14ac:dyDescent="0.2">
      <c r="B58" s="3"/>
      <c r="C58" s="10"/>
      <c r="D58" s="10"/>
      <c r="E58" s="3"/>
      <c r="F58" s="10"/>
      <c r="G58" s="10"/>
      <c r="H58" s="3"/>
      <c r="I58" s="10"/>
      <c r="J58" s="10"/>
      <c r="K58" s="3"/>
      <c r="L58" s="10"/>
      <c r="M58" s="10"/>
      <c r="N58" s="3"/>
      <c r="O58" s="10"/>
      <c r="P58" s="10"/>
    </row>
    <row r="59" spans="2:16" x14ac:dyDescent="0.2">
      <c r="B59" s="3"/>
      <c r="C59" s="10"/>
      <c r="D59" s="10"/>
      <c r="E59" s="3"/>
      <c r="F59" s="10"/>
      <c r="G59" s="10"/>
      <c r="H59" s="3"/>
      <c r="I59" s="10"/>
      <c r="J59" s="10"/>
      <c r="K59" s="3"/>
      <c r="L59" s="10"/>
      <c r="M59" s="10"/>
      <c r="N59" s="3"/>
      <c r="O59" s="10"/>
      <c r="P59" s="10"/>
    </row>
    <row r="60" spans="2:16" x14ac:dyDescent="0.2">
      <c r="B60" s="3"/>
      <c r="C60" s="10"/>
      <c r="D60" s="10"/>
      <c r="E60" s="3"/>
      <c r="F60" s="10"/>
      <c r="G60" s="10"/>
      <c r="H60" s="3"/>
      <c r="I60" s="10"/>
      <c r="J60" s="10"/>
      <c r="K60" s="3"/>
      <c r="L60" s="10"/>
      <c r="M60" s="10"/>
      <c r="N60" s="3"/>
      <c r="O60" s="10"/>
      <c r="P60" s="10"/>
    </row>
    <row r="61" spans="2:16" x14ac:dyDescent="0.2">
      <c r="B61" s="3"/>
      <c r="C61" s="10"/>
      <c r="D61" s="10"/>
      <c r="E61" s="3"/>
      <c r="F61" s="10"/>
      <c r="G61" s="10"/>
      <c r="H61" s="3"/>
      <c r="I61" s="10"/>
      <c r="J61" s="10"/>
      <c r="K61" s="3"/>
      <c r="L61" s="10"/>
      <c r="M61" s="10"/>
      <c r="N61" s="3"/>
      <c r="O61" s="10"/>
      <c r="P61" s="10"/>
    </row>
    <row r="62" spans="2:16" x14ac:dyDescent="0.2">
      <c r="B62" s="3"/>
      <c r="C62" s="10"/>
      <c r="D62" s="10"/>
      <c r="E62" s="3"/>
      <c r="F62" s="10"/>
      <c r="G62" s="10"/>
      <c r="H62" s="3"/>
      <c r="I62" s="10"/>
      <c r="J62" s="10"/>
      <c r="K62" s="3"/>
      <c r="N62" s="3"/>
      <c r="O62" s="10"/>
      <c r="P62" s="10"/>
    </row>
    <row r="63" spans="2:16" x14ac:dyDescent="0.2">
      <c r="B63" s="3"/>
      <c r="C63" s="10"/>
      <c r="D63" s="10"/>
      <c r="E63" s="3"/>
      <c r="F63" s="10"/>
      <c r="G63" s="10"/>
      <c r="H63" s="3"/>
      <c r="I63" s="10"/>
      <c r="J63" s="10"/>
      <c r="K63" s="3"/>
      <c r="N63" s="3"/>
      <c r="O63" s="10"/>
      <c r="P63" s="10"/>
    </row>
    <row r="64" spans="2:16" x14ac:dyDescent="0.2">
      <c r="B64" s="3"/>
      <c r="C64" s="10"/>
      <c r="D64" s="10"/>
      <c r="E64" s="3"/>
      <c r="F64" s="10"/>
      <c r="G64" s="10"/>
      <c r="H64" s="3"/>
      <c r="I64" s="10"/>
      <c r="J64" s="10"/>
      <c r="K64" s="3"/>
      <c r="N64" s="3"/>
      <c r="O64" s="10"/>
      <c r="P64" s="10"/>
    </row>
    <row r="65" spans="2:14" x14ac:dyDescent="0.2">
      <c r="B65" s="3"/>
      <c r="C65" s="10"/>
      <c r="D65" s="10"/>
      <c r="E65" s="3"/>
      <c r="F65" s="10"/>
      <c r="G65" s="10"/>
      <c r="H65" s="3"/>
      <c r="I65" s="10"/>
      <c r="J65" s="10"/>
      <c r="K65" s="3"/>
      <c r="N65" s="3"/>
    </row>
    <row r="66" spans="2:14" x14ac:dyDescent="0.2">
      <c r="B66" s="3"/>
      <c r="C66" s="10"/>
      <c r="D66" s="10"/>
      <c r="E66" s="3"/>
      <c r="F66" s="10"/>
      <c r="G66" s="10"/>
      <c r="H66" s="3"/>
      <c r="I66" s="10"/>
      <c r="J66" s="10"/>
      <c r="K66" s="3"/>
      <c r="N66" s="3"/>
    </row>
    <row r="67" spans="2:14" x14ac:dyDescent="0.2">
      <c r="B67" s="3"/>
      <c r="C67" s="10"/>
      <c r="D67" s="10"/>
      <c r="E67" s="3"/>
      <c r="F67" s="10"/>
      <c r="G67" s="10"/>
      <c r="H67" s="3"/>
      <c r="I67" s="10"/>
      <c r="J67" s="10"/>
      <c r="K67" s="3"/>
      <c r="N67" s="3"/>
    </row>
    <row r="68" spans="2:14" x14ac:dyDescent="0.2">
      <c r="B68" s="3"/>
      <c r="C68" s="10"/>
      <c r="D68" s="10"/>
      <c r="E68" s="3"/>
      <c r="F68" s="10"/>
      <c r="G68" s="10"/>
      <c r="H68" s="3"/>
      <c r="K68" s="3"/>
      <c r="N68" s="3"/>
    </row>
    <row r="69" spans="2:14" x14ac:dyDescent="0.2">
      <c r="C69" s="10"/>
      <c r="D69" s="10"/>
      <c r="F69" s="10"/>
      <c r="G69" s="10"/>
    </row>
  </sheetData>
  <phoneticPr fontId="26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B1B14-3FB1-6141-AD4E-C3C65DF9B345}">
  <dimension ref="A1:R73"/>
  <sheetViews>
    <sheetView topLeftCell="A40" workbookViewId="0">
      <selection activeCell="F34" sqref="F34"/>
    </sheetView>
  </sheetViews>
  <sheetFormatPr baseColWidth="10" defaultRowHeight="16" x14ac:dyDescent="0.2"/>
  <cols>
    <col min="1" max="1" width="10.1640625" bestFit="1" customWidth="1"/>
    <col min="2" max="11" width="12.1640625" bestFit="1" customWidth="1"/>
    <col min="12" max="12" width="13.5" customWidth="1"/>
    <col min="13" max="16" width="12.1640625" bestFit="1" customWidth="1"/>
  </cols>
  <sheetData>
    <row r="1" spans="1:18" s="1" customFormat="1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1" t="s">
        <v>92</v>
      </c>
    </row>
    <row r="2" spans="1:18" x14ac:dyDescent="0.2">
      <c r="A2">
        <v>47</v>
      </c>
      <c r="B2">
        <v>6882.6506521833498</v>
      </c>
      <c r="C2">
        <v>133.29075574874801</v>
      </c>
      <c r="D2">
        <v>0.59815004268349603</v>
      </c>
      <c r="E2">
        <v>6393.2710294306698</v>
      </c>
      <c r="F2">
        <v>124.46870657701101</v>
      </c>
      <c r="G2">
        <v>0.59550928053681895</v>
      </c>
      <c r="H2">
        <v>6096.1673996562004</v>
      </c>
      <c r="I2">
        <v>130.50330806617001</v>
      </c>
      <c r="J2">
        <v>0.612585659538186</v>
      </c>
      <c r="K2">
        <v>7648.4630659433597</v>
      </c>
      <c r="L2">
        <v>129.57438859322599</v>
      </c>
      <c r="M2">
        <v>0.77543471718783097</v>
      </c>
      <c r="N2">
        <v>5625.7900303945798</v>
      </c>
      <c r="O2">
        <v>126.68864211663499</v>
      </c>
      <c r="P2">
        <v>0.54527451519169701</v>
      </c>
      <c r="R2" s="4" t="s">
        <v>93</v>
      </c>
    </row>
    <row r="3" spans="1:18" x14ac:dyDescent="0.2">
      <c r="A3">
        <v>65</v>
      </c>
      <c r="B3">
        <v>1465.0307164015301</v>
      </c>
      <c r="C3">
        <v>181.69518709182699</v>
      </c>
      <c r="D3">
        <v>0.95380329932544194</v>
      </c>
      <c r="E3">
        <v>1327.08243076128</v>
      </c>
      <c r="F3">
        <v>179.19803551747</v>
      </c>
      <c r="G3">
        <v>0.99346582017927998</v>
      </c>
      <c r="H3">
        <v>1240.84503320206</v>
      </c>
      <c r="I3">
        <v>171.01230153080999</v>
      </c>
      <c r="J3">
        <v>0.92682828975631804</v>
      </c>
      <c r="K3">
        <v>1260.52503795085</v>
      </c>
      <c r="L3">
        <v>171.004401903191</v>
      </c>
      <c r="M3">
        <v>1.0413216601676201</v>
      </c>
      <c r="N3">
        <v>1242.2304220067399</v>
      </c>
      <c r="O3">
        <v>173.816767900445</v>
      </c>
      <c r="P3">
        <v>0.87923112759533095</v>
      </c>
      <c r="R3" s="4" t="s">
        <v>88</v>
      </c>
    </row>
    <row r="4" spans="1:18" x14ac:dyDescent="0.2">
      <c r="A4">
        <v>98</v>
      </c>
      <c r="B4">
        <v>6945.5415915535305</v>
      </c>
      <c r="C4">
        <v>196.43741846084501</v>
      </c>
      <c r="D4">
        <v>2.1752705972195701</v>
      </c>
      <c r="E4">
        <v>1021.71897907121</v>
      </c>
      <c r="F4">
        <v>198.655282308875</v>
      </c>
      <c r="G4">
        <v>0.34840919764515299</v>
      </c>
      <c r="H4">
        <v>2144.3596673072798</v>
      </c>
      <c r="I4">
        <v>194.31376048425599</v>
      </c>
      <c r="J4">
        <v>0.85875386603328596</v>
      </c>
      <c r="K4">
        <v>2930.9624470567801</v>
      </c>
      <c r="L4">
        <v>194.943071855238</v>
      </c>
      <c r="M4">
        <v>0.99528390375728104</v>
      </c>
      <c r="N4">
        <v>1207.8912302997301</v>
      </c>
      <c r="O4">
        <v>195.14484273768801</v>
      </c>
      <c r="P4">
        <v>0.42977291517643801</v>
      </c>
      <c r="R4" s="4" t="s">
        <v>94</v>
      </c>
    </row>
    <row r="5" spans="1:18" x14ac:dyDescent="0.2">
      <c r="A5">
        <v>114</v>
      </c>
      <c r="B5">
        <v>54420.099816152397</v>
      </c>
      <c r="C5">
        <v>67.844569683074894</v>
      </c>
      <c r="D5">
        <v>0.78647231442194498</v>
      </c>
      <c r="E5">
        <v>51838.676431848799</v>
      </c>
      <c r="F5">
        <v>52.295170773032503</v>
      </c>
      <c r="G5">
        <v>0.6589834757659</v>
      </c>
      <c r="H5">
        <v>45374.409428769002</v>
      </c>
      <c r="I5">
        <v>48.9013336812529</v>
      </c>
      <c r="J5">
        <v>0.61490637426816597</v>
      </c>
      <c r="K5">
        <v>41096.096276855598</v>
      </c>
      <c r="L5">
        <v>50.106935101515496</v>
      </c>
      <c r="M5">
        <v>0.59115534638866196</v>
      </c>
      <c r="N5">
        <v>43276.80604661</v>
      </c>
      <c r="O5">
        <v>48.966605532678599</v>
      </c>
      <c r="P5">
        <v>0.57740948272762305</v>
      </c>
      <c r="R5" s="4" t="s">
        <v>40</v>
      </c>
    </row>
    <row r="6" spans="1:18" x14ac:dyDescent="0.2">
      <c r="A6">
        <v>123</v>
      </c>
      <c r="B6">
        <v>12372.840579268701</v>
      </c>
      <c r="C6">
        <v>146.03302478790201</v>
      </c>
      <c r="D6">
        <v>1.24305771833776</v>
      </c>
      <c r="E6">
        <v>10174.113327250299</v>
      </c>
      <c r="F6">
        <v>121.95017267975</v>
      </c>
      <c r="G6">
        <v>0.99921980378140496</v>
      </c>
      <c r="H6">
        <v>10000.5893865251</v>
      </c>
      <c r="I6">
        <v>120.23352662248701</v>
      </c>
      <c r="J6">
        <v>0.98986455244307203</v>
      </c>
      <c r="K6">
        <v>10802.091958167999</v>
      </c>
      <c r="L6">
        <v>125.252634567633</v>
      </c>
      <c r="M6">
        <v>1.0253883454599</v>
      </c>
      <c r="N6">
        <v>11338.062939839399</v>
      </c>
      <c r="O6">
        <v>134.00121302929301</v>
      </c>
      <c r="P6">
        <v>1.0771934017110101</v>
      </c>
      <c r="R6" s="4" t="s">
        <v>95</v>
      </c>
    </row>
    <row r="7" spans="1:18" x14ac:dyDescent="0.2">
      <c r="A7">
        <v>168</v>
      </c>
      <c r="B7">
        <v>2627.6465706026702</v>
      </c>
      <c r="C7">
        <v>139.29594755172701</v>
      </c>
      <c r="D7">
        <v>0.94498388943205602</v>
      </c>
      <c r="E7">
        <v>3168.5763653876202</v>
      </c>
      <c r="F7">
        <v>139.36390958595899</v>
      </c>
      <c r="G7">
        <v>1.3221926509023001</v>
      </c>
      <c r="H7">
        <v>2643.5343929412602</v>
      </c>
      <c r="I7">
        <v>128.15250261475899</v>
      </c>
      <c r="J7">
        <v>0.99489967134577495</v>
      </c>
      <c r="K7">
        <v>2431.8661417282101</v>
      </c>
      <c r="L7">
        <v>138.856035082891</v>
      </c>
      <c r="M7">
        <v>1.0525619099211401</v>
      </c>
      <c r="N7">
        <v>2569.8215648160699</v>
      </c>
      <c r="O7">
        <v>124.649453199744</v>
      </c>
      <c r="P7">
        <v>0.95760689257982201</v>
      </c>
      <c r="R7" s="4" t="s">
        <v>25</v>
      </c>
    </row>
    <row r="8" spans="1:18" x14ac:dyDescent="0.2">
      <c r="A8">
        <v>172</v>
      </c>
      <c r="B8">
        <v>10391.016889602201</v>
      </c>
      <c r="C8">
        <v>128.069984912872</v>
      </c>
      <c r="D8">
        <v>0.66087309003235895</v>
      </c>
      <c r="E8">
        <v>9266.6779423716398</v>
      </c>
      <c r="F8">
        <v>122.744314063288</v>
      </c>
      <c r="G8">
        <v>0.78170999555890597</v>
      </c>
      <c r="H8">
        <v>8088.7321994998601</v>
      </c>
      <c r="I8">
        <v>121.667059056775</v>
      </c>
      <c r="J8">
        <v>0.70235626420721797</v>
      </c>
      <c r="K8">
        <v>11568.3770448224</v>
      </c>
      <c r="L8">
        <v>135.96506727755499</v>
      </c>
      <c r="M8">
        <v>1.1750364949280301</v>
      </c>
      <c r="N8">
        <v>8683.6893962683298</v>
      </c>
      <c r="O8">
        <v>111.378733003703</v>
      </c>
      <c r="P8">
        <v>0.58000532761207002</v>
      </c>
      <c r="R8" s="4" t="s">
        <v>96</v>
      </c>
    </row>
    <row r="9" spans="1:18" x14ac:dyDescent="0.2">
      <c r="A9">
        <v>185</v>
      </c>
      <c r="B9">
        <v>30797.714200894799</v>
      </c>
      <c r="C9">
        <v>93.746918439865098</v>
      </c>
      <c r="D9">
        <v>0.76304974663171099</v>
      </c>
      <c r="E9">
        <v>30448.066101414901</v>
      </c>
      <c r="F9">
        <v>97.700367494684201</v>
      </c>
      <c r="G9">
        <v>0.85835183006424198</v>
      </c>
      <c r="H9">
        <v>31340.490339166401</v>
      </c>
      <c r="I9">
        <v>97.740132862870496</v>
      </c>
      <c r="J9">
        <v>0.89226379131125</v>
      </c>
      <c r="K9">
        <v>30955.301136761798</v>
      </c>
      <c r="L9">
        <v>93.180502669229199</v>
      </c>
      <c r="M9">
        <v>0.76217781998732603</v>
      </c>
      <c r="N9">
        <v>29861.594613797999</v>
      </c>
      <c r="O9">
        <v>94.199724074108303</v>
      </c>
      <c r="P9">
        <v>0.71218128250315704</v>
      </c>
      <c r="R9" s="4" t="s">
        <v>33</v>
      </c>
    </row>
    <row r="10" spans="1:18" x14ac:dyDescent="0.2">
      <c r="A10">
        <v>195</v>
      </c>
      <c r="B10">
        <v>70023.363415362997</v>
      </c>
      <c r="C10">
        <v>120.31148672103799</v>
      </c>
      <c r="D10">
        <v>0.73327651488094203</v>
      </c>
      <c r="E10">
        <v>53455.934241183102</v>
      </c>
      <c r="F10">
        <v>90.783409211563495</v>
      </c>
      <c r="G10">
        <v>0.52772235836524095</v>
      </c>
      <c r="H10">
        <v>58309.707318644003</v>
      </c>
      <c r="I10">
        <v>98.165179717241102</v>
      </c>
      <c r="J10">
        <v>0.63989971238194399</v>
      </c>
      <c r="K10">
        <v>58931.222933065997</v>
      </c>
      <c r="L10">
        <v>96.547170346374799</v>
      </c>
      <c r="M10">
        <v>0.59610716705121103</v>
      </c>
      <c r="N10">
        <v>58538.8643067636</v>
      </c>
      <c r="O10">
        <v>106.405468102569</v>
      </c>
      <c r="P10">
        <v>0.54061099711667504</v>
      </c>
      <c r="R10" s="4" t="s">
        <v>24</v>
      </c>
    </row>
    <row r="11" spans="1:18" x14ac:dyDescent="0.2">
      <c r="A11">
        <v>197</v>
      </c>
      <c r="B11">
        <v>14766.381276399399</v>
      </c>
      <c r="C11">
        <v>148.24911355972199</v>
      </c>
      <c r="D11">
        <v>0.94585924447421899</v>
      </c>
      <c r="E11">
        <v>12811.7953336884</v>
      </c>
      <c r="F11">
        <v>139.818165296465</v>
      </c>
      <c r="G11">
        <v>0.83446832872863996</v>
      </c>
      <c r="H11">
        <v>12232.3893244889</v>
      </c>
      <c r="I11">
        <v>141.91532531953001</v>
      </c>
      <c r="J11">
        <v>0.85801227988377304</v>
      </c>
      <c r="K11">
        <v>12230.902791217201</v>
      </c>
      <c r="L11">
        <v>149.35730989545399</v>
      </c>
      <c r="M11">
        <v>0.77072076462607897</v>
      </c>
      <c r="N11">
        <v>12313.4570101975</v>
      </c>
      <c r="O11">
        <v>137.26120171443799</v>
      </c>
      <c r="P11">
        <v>0.74429985933598797</v>
      </c>
      <c r="R11" s="4" t="s">
        <v>97</v>
      </c>
    </row>
    <row r="12" spans="1:18" x14ac:dyDescent="0.2">
      <c r="A12">
        <v>237</v>
      </c>
      <c r="B12">
        <v>21089.597056368799</v>
      </c>
      <c r="C12">
        <v>125.758564472198</v>
      </c>
      <c r="D12">
        <v>0.61650060315199895</v>
      </c>
      <c r="E12">
        <v>23288.611136801301</v>
      </c>
      <c r="F12">
        <v>125.235767098729</v>
      </c>
      <c r="G12">
        <v>0.54339941350544196</v>
      </c>
      <c r="H12">
        <v>24241.593858932501</v>
      </c>
      <c r="I12">
        <v>120.74833407448099</v>
      </c>
      <c r="J12">
        <v>0.704458186758806</v>
      </c>
      <c r="K12">
        <v>22905.120601964802</v>
      </c>
      <c r="L12">
        <v>118.81284244830699</v>
      </c>
      <c r="M12">
        <v>0.62339880290991501</v>
      </c>
      <c r="N12">
        <v>21337.1759269342</v>
      </c>
      <c r="O12">
        <v>116.943803401498</v>
      </c>
      <c r="P12">
        <v>0.55303419380041197</v>
      </c>
      <c r="R12" s="4" t="s">
        <v>19</v>
      </c>
    </row>
    <row r="13" spans="1:18" x14ac:dyDescent="0.2">
      <c r="A13">
        <v>272</v>
      </c>
      <c r="B13">
        <v>2360.3117378854799</v>
      </c>
      <c r="C13">
        <v>156.22085332870401</v>
      </c>
      <c r="D13">
        <v>1.20068435888561</v>
      </c>
      <c r="E13">
        <v>1535.5831462210599</v>
      </c>
      <c r="F13">
        <v>145.14119736861201</v>
      </c>
      <c r="G13">
        <v>0.84864270259796903</v>
      </c>
      <c r="H13">
        <v>1501.97191555215</v>
      </c>
      <c r="I13">
        <v>140.12199152707399</v>
      </c>
      <c r="J13">
        <v>0.72116145519364205</v>
      </c>
      <c r="K13">
        <v>1555.9130108327199</v>
      </c>
      <c r="L13">
        <v>139.694917667369</v>
      </c>
      <c r="M13">
        <v>0.91666063197485803</v>
      </c>
      <c r="N13">
        <v>1614.5974193081399</v>
      </c>
      <c r="O13">
        <v>145.91419740484099</v>
      </c>
      <c r="P13">
        <v>0.77279829342526596</v>
      </c>
      <c r="R13" s="4" t="s">
        <v>98</v>
      </c>
    </row>
    <row r="14" spans="1:18" x14ac:dyDescent="0.2">
      <c r="A14">
        <v>279</v>
      </c>
      <c r="B14">
        <v>53179.679728257099</v>
      </c>
      <c r="C14">
        <v>110.634052753448</v>
      </c>
      <c r="D14">
        <v>0.86222980214468603</v>
      </c>
      <c r="E14">
        <v>34499.568050340204</v>
      </c>
      <c r="F14">
        <v>91.364041413681093</v>
      </c>
      <c r="G14">
        <v>0.57707656543660402</v>
      </c>
      <c r="H14">
        <v>35144.631327935902</v>
      </c>
      <c r="I14">
        <v>99.576074725551393</v>
      </c>
      <c r="J14">
        <v>0.59377462464161501</v>
      </c>
      <c r="K14">
        <v>62979.487786231402</v>
      </c>
      <c r="L14">
        <v>120.579819515642</v>
      </c>
      <c r="M14">
        <v>1.09050769642055</v>
      </c>
      <c r="N14">
        <v>38850.706757604297</v>
      </c>
      <c r="O14">
        <v>103.66393577655001</v>
      </c>
      <c r="P14">
        <v>0.66614653085633801</v>
      </c>
      <c r="R14" s="4" t="s">
        <v>99</v>
      </c>
    </row>
    <row r="15" spans="1:18" x14ac:dyDescent="0.2">
      <c r="A15">
        <v>709</v>
      </c>
      <c r="B15">
        <v>1998.7555503362501</v>
      </c>
      <c r="C15">
        <v>137.17983961105301</v>
      </c>
      <c r="D15">
        <v>4.0138686899839703E-2</v>
      </c>
      <c r="E15">
        <v>857.36758722324896</v>
      </c>
      <c r="F15">
        <v>183.67090019803399</v>
      </c>
      <c r="G15">
        <v>1.2730766131148199E-2</v>
      </c>
      <c r="H15">
        <v>1888.3120174176699</v>
      </c>
      <c r="I15">
        <v>158.62121077345799</v>
      </c>
      <c r="J15">
        <v>3.7476904706485799E-2</v>
      </c>
      <c r="K15">
        <v>747.76465155611402</v>
      </c>
      <c r="L15">
        <v>131.392806989555</v>
      </c>
      <c r="M15">
        <v>1.24902942010211E-2</v>
      </c>
      <c r="N15">
        <v>926.14829811341804</v>
      </c>
      <c r="O15">
        <v>162.58991309197</v>
      </c>
      <c r="P15">
        <v>1.91792186757258E-2</v>
      </c>
      <c r="R15" s="4" t="s">
        <v>100</v>
      </c>
    </row>
    <row r="16" spans="1:18" x14ac:dyDescent="0.2">
      <c r="A16">
        <v>712</v>
      </c>
      <c r="B16">
        <v>2883.13509915855</v>
      </c>
      <c r="C16">
        <v>143.663263320922</v>
      </c>
      <c r="D16">
        <v>0.59244180705661598</v>
      </c>
      <c r="E16">
        <v>2688.0459949615401</v>
      </c>
      <c r="F16">
        <v>129.52510133865599</v>
      </c>
      <c r="G16">
        <v>0.66111218449446796</v>
      </c>
      <c r="H16">
        <v>2562.5607474533899</v>
      </c>
      <c r="I16">
        <v>128.270237024425</v>
      </c>
      <c r="J16">
        <v>0.66645788688537999</v>
      </c>
      <c r="K16">
        <v>3595.9097482008001</v>
      </c>
      <c r="L16">
        <v>138.24890269833099</v>
      </c>
      <c r="M16">
        <v>1.0786188720909</v>
      </c>
      <c r="N16">
        <v>2643.3933340051299</v>
      </c>
      <c r="O16">
        <v>127.618117220416</v>
      </c>
      <c r="P16">
        <v>0.70650947511711104</v>
      </c>
      <c r="R16" s="4" t="s">
        <v>101</v>
      </c>
    </row>
    <row r="17" spans="1:18" x14ac:dyDescent="0.2">
      <c r="A17">
        <v>714</v>
      </c>
      <c r="B17">
        <v>2347.2239986844002</v>
      </c>
      <c r="C17">
        <v>165.26553630828801</v>
      </c>
      <c r="D17">
        <v>0.73480253666669704</v>
      </c>
      <c r="E17">
        <v>518.87545650241896</v>
      </c>
      <c r="F17">
        <v>115.85790890621099</v>
      </c>
      <c r="G17">
        <v>0.27313364596908402</v>
      </c>
      <c r="H17">
        <v>869.57800626319101</v>
      </c>
      <c r="I17">
        <v>143.23466437213401</v>
      </c>
      <c r="J17">
        <v>0.47297392501805202</v>
      </c>
      <c r="K17">
        <v>646.007465337187</v>
      </c>
      <c r="L17">
        <v>163.34217408105499</v>
      </c>
      <c r="M17">
        <v>0.26923576974215602</v>
      </c>
      <c r="N17">
        <v>743.47782400084702</v>
      </c>
      <c r="O17">
        <v>171.48504846074201</v>
      </c>
      <c r="P17">
        <v>0.29453796937035898</v>
      </c>
      <c r="R17" s="4" t="s">
        <v>102</v>
      </c>
    </row>
    <row r="18" spans="1:18" x14ac:dyDescent="0.2">
      <c r="A18">
        <v>722</v>
      </c>
      <c r="B18">
        <v>249595.38867535099</v>
      </c>
      <c r="C18">
        <v>121.367502212524</v>
      </c>
      <c r="D18">
        <v>0.91701286113846803</v>
      </c>
      <c r="E18">
        <v>216823.902362956</v>
      </c>
      <c r="F18">
        <v>119.58094322038301</v>
      </c>
      <c r="G18">
        <v>0.83321798769566302</v>
      </c>
      <c r="H18">
        <v>175900.07093309599</v>
      </c>
      <c r="I18">
        <v>108.16491433978599</v>
      </c>
      <c r="J18">
        <v>0.62391185121609205</v>
      </c>
      <c r="K18">
        <v>182470.05496588399</v>
      </c>
      <c r="L18">
        <v>105.880738452038</v>
      </c>
      <c r="M18">
        <v>0.67113127812172901</v>
      </c>
      <c r="N18">
        <v>197750.699189006</v>
      </c>
      <c r="O18">
        <v>116.346124995689</v>
      </c>
      <c r="P18">
        <v>0.70699602578333398</v>
      </c>
      <c r="R18" s="4" t="s">
        <v>103</v>
      </c>
    </row>
    <row r="19" spans="1:18" x14ac:dyDescent="0.2">
      <c r="A19">
        <v>724</v>
      </c>
      <c r="B19">
        <v>6116.6837420288402</v>
      </c>
      <c r="C19">
        <v>75.338351726531897</v>
      </c>
      <c r="D19">
        <v>0.92304427042968895</v>
      </c>
      <c r="E19">
        <v>4993.8136231646404</v>
      </c>
      <c r="F19">
        <v>62.0953075805023</v>
      </c>
      <c r="G19">
        <v>0.76970395255276502</v>
      </c>
      <c r="H19">
        <v>4532.7555339637101</v>
      </c>
      <c r="I19">
        <v>58.453580559823102</v>
      </c>
      <c r="J19">
        <v>0.69124403646079502</v>
      </c>
      <c r="K19">
        <v>4716.3944353582501</v>
      </c>
      <c r="L19">
        <v>65.762380709853602</v>
      </c>
      <c r="M19">
        <v>0.78281328108086301</v>
      </c>
      <c r="N19">
        <v>5229.7863255880202</v>
      </c>
      <c r="O19">
        <v>67.755491310457501</v>
      </c>
      <c r="P19">
        <v>0.84621341944189499</v>
      </c>
      <c r="R19" s="4" t="s">
        <v>104</v>
      </c>
    </row>
    <row r="20" spans="1:18" x14ac:dyDescent="0.2">
      <c r="A20">
        <v>749</v>
      </c>
      <c r="B20">
        <v>57874.751386074997</v>
      </c>
      <c r="C20">
        <v>131.71900510787901</v>
      </c>
      <c r="D20">
        <v>2.1137895032509899</v>
      </c>
      <c r="E20">
        <v>19024.317029594898</v>
      </c>
      <c r="F20">
        <v>104.79200705662301</v>
      </c>
      <c r="G20">
        <v>0.67526558216079302</v>
      </c>
      <c r="H20">
        <v>20007.7781847714</v>
      </c>
      <c r="I20">
        <v>113.079441443131</v>
      </c>
      <c r="J20">
        <v>0.76592285334425003</v>
      </c>
      <c r="K20">
        <v>22543.876591953402</v>
      </c>
      <c r="L20">
        <v>123.486395012434</v>
      </c>
      <c r="M20">
        <v>0.98966111216417096</v>
      </c>
      <c r="N20">
        <v>25418.2841813958</v>
      </c>
      <c r="O20">
        <v>112.952617482699</v>
      </c>
      <c r="P20">
        <v>0.93403088773276</v>
      </c>
      <c r="R20" s="4" t="s">
        <v>105</v>
      </c>
    </row>
    <row r="21" spans="1:18" x14ac:dyDescent="0.2">
      <c r="A21">
        <v>777</v>
      </c>
      <c r="B21">
        <v>3773.4610107963199</v>
      </c>
      <c r="C21">
        <v>152.62081623077299</v>
      </c>
      <c r="D21">
        <v>0.88959056524790603</v>
      </c>
      <c r="E21">
        <v>2559.7417961342899</v>
      </c>
      <c r="F21">
        <v>148.45549180987899</v>
      </c>
      <c r="G21">
        <v>0.83128728193778301</v>
      </c>
      <c r="H21">
        <v>3257.6796262234702</v>
      </c>
      <c r="I21">
        <v>154.431881155875</v>
      </c>
      <c r="J21">
        <v>1.07964665811405</v>
      </c>
      <c r="K21">
        <v>2540.9110650395501</v>
      </c>
      <c r="L21">
        <v>150.01033780833501</v>
      </c>
      <c r="M21">
        <v>0.68839109862678904</v>
      </c>
      <c r="N21">
        <v>2485.4067297960701</v>
      </c>
      <c r="O21">
        <v>145.728579188802</v>
      </c>
      <c r="P21">
        <v>0.67604124005956101</v>
      </c>
      <c r="R21" s="4" t="s">
        <v>17</v>
      </c>
    </row>
    <row r="22" spans="1:18" x14ac:dyDescent="0.2">
      <c r="A22">
        <v>782</v>
      </c>
      <c r="B22">
        <v>21251.5591898571</v>
      </c>
      <c r="C22">
        <v>130.248570442199</v>
      </c>
      <c r="D22">
        <v>0.87601977888702798</v>
      </c>
      <c r="E22">
        <v>19479.031510419802</v>
      </c>
      <c r="F22">
        <v>117.390931991899</v>
      </c>
      <c r="G22">
        <v>0.705667132586836</v>
      </c>
      <c r="H22">
        <v>20989.422418030299</v>
      </c>
      <c r="I22">
        <v>120.090382561857</v>
      </c>
      <c r="J22">
        <v>0.81435265332151696</v>
      </c>
      <c r="K22">
        <v>17942.192081916801</v>
      </c>
      <c r="L22">
        <v>111.728700799123</v>
      </c>
      <c r="M22">
        <v>0.67881925814853195</v>
      </c>
      <c r="N22">
        <v>17750.0893949737</v>
      </c>
      <c r="O22">
        <v>117.36505007222399</v>
      </c>
      <c r="P22">
        <v>0.67726752779907695</v>
      </c>
      <c r="R22" s="4" t="s">
        <v>106</v>
      </c>
    </row>
    <row r="23" spans="1:18" x14ac:dyDescent="0.2">
      <c r="A23">
        <v>792</v>
      </c>
      <c r="B23">
        <v>18585.195828938598</v>
      </c>
      <c r="C23">
        <v>96.820664405822697</v>
      </c>
      <c r="D23">
        <v>0.83875997197303398</v>
      </c>
      <c r="E23">
        <v>17062.984812482999</v>
      </c>
      <c r="F23">
        <v>95.898137138436098</v>
      </c>
      <c r="G23">
        <v>0.84458714262376</v>
      </c>
      <c r="H23">
        <v>17283.167320959099</v>
      </c>
      <c r="I23">
        <v>98.332027073610206</v>
      </c>
      <c r="J23">
        <v>0.82335780850036799</v>
      </c>
      <c r="K23">
        <v>16620.722190588102</v>
      </c>
      <c r="L23">
        <v>99.498650911271199</v>
      </c>
      <c r="M23">
        <v>0.80840713261735297</v>
      </c>
      <c r="N23">
        <v>16968.6626003901</v>
      </c>
      <c r="O23">
        <v>93.8315158549091</v>
      </c>
      <c r="P23">
        <v>0.84191597944546803</v>
      </c>
      <c r="R23" s="4" t="s">
        <v>107</v>
      </c>
    </row>
    <row r="24" spans="1:18" x14ac:dyDescent="0.2">
      <c r="A24">
        <v>804</v>
      </c>
      <c r="B24">
        <v>6886.1039783029701</v>
      </c>
      <c r="C24">
        <v>143.35021972656199</v>
      </c>
      <c r="D24">
        <v>0.78484598890388901</v>
      </c>
      <c r="E24">
        <v>6392.3527955814998</v>
      </c>
      <c r="F24">
        <v>121.618919795236</v>
      </c>
      <c r="G24">
        <v>0.80897774369873499</v>
      </c>
      <c r="H24">
        <v>5100.8343919929803</v>
      </c>
      <c r="I24">
        <v>129.29261014604899</v>
      </c>
      <c r="J24">
        <v>0.63572780391582295</v>
      </c>
      <c r="K24">
        <v>7674.6798265962798</v>
      </c>
      <c r="L24">
        <v>131.85095444223799</v>
      </c>
      <c r="M24">
        <v>0.91566371570687499</v>
      </c>
      <c r="N24">
        <v>5074.36247788115</v>
      </c>
      <c r="O24">
        <v>128.944763734265</v>
      </c>
      <c r="P24">
        <v>0.57849681307863099</v>
      </c>
      <c r="R24" s="4" t="s">
        <v>108</v>
      </c>
    </row>
    <row r="25" spans="1:18" x14ac:dyDescent="0.2">
      <c r="A25">
        <v>812</v>
      </c>
      <c r="B25">
        <v>25806.6248858699</v>
      </c>
      <c r="C25">
        <v>97.155702114105196</v>
      </c>
      <c r="D25">
        <v>2.0579820084032399</v>
      </c>
      <c r="E25">
        <v>25246.989055296301</v>
      </c>
      <c r="F25">
        <v>87.441142348662893</v>
      </c>
      <c r="G25">
        <v>1.9372161433797701</v>
      </c>
      <c r="H25">
        <v>23360.282095914899</v>
      </c>
      <c r="I25">
        <v>85.605076273627603</v>
      </c>
      <c r="J25">
        <v>1.77743888020033</v>
      </c>
      <c r="K25">
        <v>25169.826663928801</v>
      </c>
      <c r="L25">
        <v>96.064458214078897</v>
      </c>
      <c r="M25">
        <v>2.3638414132434198</v>
      </c>
      <c r="N25">
        <v>24526.126812266</v>
      </c>
      <c r="O25">
        <v>87.483372426428005</v>
      </c>
      <c r="P25">
        <v>1.90834850434185</v>
      </c>
      <c r="R25" s="4" t="s">
        <v>109</v>
      </c>
    </row>
    <row r="26" spans="1:18" x14ac:dyDescent="0.2">
      <c r="A26">
        <v>816</v>
      </c>
      <c r="B26">
        <v>14471.423979691799</v>
      </c>
      <c r="C26">
        <v>171.327495574951</v>
      </c>
      <c r="D26">
        <v>0.956867255596766</v>
      </c>
      <c r="E26">
        <v>5744.0279621826703</v>
      </c>
      <c r="F26">
        <v>163.98991841072501</v>
      </c>
      <c r="G26">
        <v>0.36798252511766899</v>
      </c>
      <c r="H26">
        <v>9168.9812891645706</v>
      </c>
      <c r="I26">
        <v>184.52302624585101</v>
      </c>
      <c r="J26">
        <v>0.65513230316059401</v>
      </c>
      <c r="K26">
        <v>6715.8392213473999</v>
      </c>
      <c r="L26">
        <v>172.46719377455699</v>
      </c>
      <c r="M26">
        <v>0.50852736891804096</v>
      </c>
      <c r="N26">
        <v>6439.9521639756003</v>
      </c>
      <c r="O26">
        <v>170.39661476497201</v>
      </c>
      <c r="P26">
        <v>0.49080573367035502</v>
      </c>
      <c r="R26" s="4" t="s">
        <v>110</v>
      </c>
    </row>
    <row r="27" spans="1:18" x14ac:dyDescent="0.2">
      <c r="A27">
        <v>822</v>
      </c>
      <c r="B27">
        <v>20262.529753216801</v>
      </c>
      <c r="C27">
        <v>133.671450614929</v>
      </c>
      <c r="D27">
        <v>0.59700541212054503</v>
      </c>
      <c r="E27">
        <v>27464.9795929213</v>
      </c>
      <c r="F27">
        <v>117.853039235164</v>
      </c>
      <c r="G27">
        <v>0.73394217883056201</v>
      </c>
      <c r="H27">
        <v>22592.794890995199</v>
      </c>
      <c r="I27">
        <v>114.03584174013901</v>
      </c>
      <c r="J27">
        <v>0.66139169052554003</v>
      </c>
      <c r="K27">
        <v>30334.184616067101</v>
      </c>
      <c r="L27">
        <v>111.80473875285401</v>
      </c>
      <c r="M27">
        <v>0.95743018747008402</v>
      </c>
      <c r="N27">
        <v>24314.038521357099</v>
      </c>
      <c r="O27">
        <v>115.923615359549</v>
      </c>
      <c r="P27">
        <v>0.51548054756623096</v>
      </c>
      <c r="R27" s="4" t="s">
        <v>37</v>
      </c>
    </row>
    <row r="28" spans="1:18" x14ac:dyDescent="0.2">
      <c r="A28">
        <v>827</v>
      </c>
      <c r="B28">
        <v>68336.395222458101</v>
      </c>
      <c r="C28">
        <v>100.96342563629101</v>
      </c>
      <c r="D28">
        <v>1.1047592634861201</v>
      </c>
      <c r="E28">
        <v>82190.067771210102</v>
      </c>
      <c r="F28">
        <v>103.70931982881601</v>
      </c>
      <c r="G28">
        <v>1.34332111269333</v>
      </c>
      <c r="H28">
        <v>75110.911368444897</v>
      </c>
      <c r="I28">
        <v>99.569079200025399</v>
      </c>
      <c r="J28">
        <v>1.16139475394225</v>
      </c>
      <c r="K28">
        <v>97146.466352903095</v>
      </c>
      <c r="L28">
        <v>136.38201094194099</v>
      </c>
      <c r="M28">
        <v>1.6156959802381099</v>
      </c>
      <c r="N28">
        <v>74607.445427863699</v>
      </c>
      <c r="O28">
        <v>100.946680195306</v>
      </c>
      <c r="P28">
        <v>1.1129114492518899</v>
      </c>
      <c r="R28" s="4" t="s">
        <v>111</v>
      </c>
    </row>
    <row r="29" spans="1:18" x14ac:dyDescent="0.2">
      <c r="A29">
        <v>838</v>
      </c>
      <c r="B29">
        <v>12815.3626558127</v>
      </c>
      <c r="C29">
        <v>100.020051002502</v>
      </c>
      <c r="D29">
        <v>1.1305068781685399</v>
      </c>
      <c r="E29">
        <v>10118.810978817801</v>
      </c>
      <c r="F29">
        <v>96.573023574976304</v>
      </c>
      <c r="G29">
        <v>1.0686986186384599</v>
      </c>
      <c r="H29">
        <v>8201.7504100797196</v>
      </c>
      <c r="I29">
        <v>87.687078909026596</v>
      </c>
      <c r="J29">
        <v>0.86380696904897403</v>
      </c>
      <c r="K29">
        <v>11924.3660055333</v>
      </c>
      <c r="L29">
        <v>93.850233438971898</v>
      </c>
      <c r="M29">
        <v>1.21829748114809</v>
      </c>
      <c r="N29">
        <v>9685.5583358168897</v>
      </c>
      <c r="O29">
        <v>92.398974375167299</v>
      </c>
      <c r="P29">
        <v>1.0187000737929699</v>
      </c>
      <c r="R29" s="4" t="s">
        <v>112</v>
      </c>
    </row>
    <row r="30" spans="1:18" x14ac:dyDescent="0.2">
      <c r="A30">
        <v>876</v>
      </c>
      <c r="B30">
        <v>6034.1600906837002</v>
      </c>
      <c r="C30">
        <v>200</v>
      </c>
      <c r="D30">
        <v>1.16678546310506</v>
      </c>
      <c r="E30">
        <v>1937.40167626628</v>
      </c>
      <c r="F30">
        <v>200</v>
      </c>
      <c r="G30">
        <v>0.37462249153620603</v>
      </c>
      <c r="H30">
        <v>2807.88</v>
      </c>
      <c r="I30">
        <v>200</v>
      </c>
      <c r="J30">
        <v>0.54294110220956804</v>
      </c>
      <c r="K30">
        <v>3107.4804041411298</v>
      </c>
      <c r="L30">
        <v>200</v>
      </c>
      <c r="M30">
        <v>0.60087284204418301</v>
      </c>
      <c r="N30">
        <v>565.85467529296795</v>
      </c>
      <c r="O30">
        <v>200</v>
      </c>
      <c r="P30">
        <v>0.10941555945909399</v>
      </c>
      <c r="R30" s="4" t="s">
        <v>113</v>
      </c>
    </row>
    <row r="31" spans="1:18" x14ac:dyDescent="0.2">
      <c r="A31">
        <v>877</v>
      </c>
      <c r="B31">
        <v>2144.2383263061001</v>
      </c>
      <c r="C31">
        <v>176.42469406127901</v>
      </c>
      <c r="D31">
        <v>0.68709898519582402</v>
      </c>
      <c r="E31">
        <v>1979.0465472251301</v>
      </c>
      <c r="F31">
        <v>166.113674015681</v>
      </c>
      <c r="G31">
        <v>0.497582408090738</v>
      </c>
      <c r="H31">
        <v>2075.3494051560201</v>
      </c>
      <c r="I31">
        <v>173.43019682744401</v>
      </c>
      <c r="J31">
        <v>0.64533845745024299</v>
      </c>
      <c r="K31">
        <v>1890.33663996317</v>
      </c>
      <c r="L31">
        <v>171.46588555132499</v>
      </c>
      <c r="M31">
        <v>0.66649738450007201</v>
      </c>
      <c r="N31">
        <v>1865.82787511783</v>
      </c>
      <c r="O31">
        <v>166.46301417174001</v>
      </c>
      <c r="P31">
        <v>0.50215583827819399</v>
      </c>
      <c r="R31" s="4" t="s">
        <v>39</v>
      </c>
    </row>
    <row r="32" spans="1:18" x14ac:dyDescent="0.2">
      <c r="A32">
        <v>888</v>
      </c>
      <c r="B32">
        <v>7649.4391951305797</v>
      </c>
      <c r="C32">
        <v>123.29883575439401</v>
      </c>
      <c r="D32">
        <v>0.80811952773296603</v>
      </c>
      <c r="E32">
        <v>5036.2184129450998</v>
      </c>
      <c r="F32">
        <v>96.403316844402696</v>
      </c>
      <c r="G32">
        <v>0.54947203951392798</v>
      </c>
      <c r="H32">
        <v>4959.3230856640103</v>
      </c>
      <c r="I32">
        <v>86.058716259085898</v>
      </c>
      <c r="J32">
        <v>0.54346871461221902</v>
      </c>
      <c r="K32">
        <v>5133.6476494995304</v>
      </c>
      <c r="L32">
        <v>99.863549076472495</v>
      </c>
      <c r="M32">
        <v>0.61002691860618397</v>
      </c>
      <c r="N32">
        <v>5011.0962438956003</v>
      </c>
      <c r="O32">
        <v>93.851713928963505</v>
      </c>
      <c r="P32">
        <v>0.44198972474973702</v>
      </c>
      <c r="R32" s="4" t="s">
        <v>114</v>
      </c>
    </row>
    <row r="33" spans="1:18" x14ac:dyDescent="0.2">
      <c r="A33">
        <v>890</v>
      </c>
      <c r="B33">
        <v>11500.516857950301</v>
      </c>
      <c r="C33">
        <v>77.3298561573028</v>
      </c>
      <c r="D33">
        <v>0.94046080959051603</v>
      </c>
      <c r="E33">
        <v>6860.7628469527199</v>
      </c>
      <c r="F33">
        <v>62.753118508957797</v>
      </c>
      <c r="G33">
        <v>0.48869321768125001</v>
      </c>
      <c r="H33">
        <v>5886.6665849528099</v>
      </c>
      <c r="I33">
        <v>51.0072679043083</v>
      </c>
      <c r="J33">
        <v>0.470805160872595</v>
      </c>
      <c r="K33">
        <v>8861.6361078553891</v>
      </c>
      <c r="L33">
        <v>74.154463725118802</v>
      </c>
      <c r="M33">
        <v>0.64908239111870403</v>
      </c>
      <c r="N33">
        <v>7341.0664530825397</v>
      </c>
      <c r="O33">
        <v>60.159830580430601</v>
      </c>
      <c r="P33">
        <v>0.52416012289686897</v>
      </c>
      <c r="R33" s="4" t="s">
        <v>115</v>
      </c>
    </row>
    <row r="34" spans="1:18" ht="87" customHeight="1" x14ac:dyDescent="0.2">
      <c r="A34" s="2" t="s">
        <v>81</v>
      </c>
      <c r="B34" s="3">
        <f>AVERAGE(B2:B33)</f>
        <v>25864.213239299439</v>
      </c>
      <c r="C34" s="3">
        <f t="shared" ref="C34:K34" si="0">AVERAGE(C2:C33)</f>
        <v>132.04228617250874</v>
      </c>
      <c r="D34" s="3">
        <f t="shared" si="0"/>
        <v>0.95763258735861023</v>
      </c>
      <c r="E34" s="3">
        <f t="shared" si="0"/>
        <v>21756.51288526904</v>
      </c>
      <c r="F34" s="3">
        <f t="shared" si="0"/>
        <v>122.5762731622614</v>
      </c>
      <c r="G34" s="3">
        <f t="shared" si="0"/>
        <v>0.73957392432502678</v>
      </c>
      <c r="H34" s="3">
        <f t="shared" si="0"/>
        <v>20153.609996973875</v>
      </c>
      <c r="I34" s="3">
        <f t="shared" si="0"/>
        <v>122.09181447165355</v>
      </c>
      <c r="J34" s="3">
        <f t="shared" si="0"/>
        <v>0.75132984816463066</v>
      </c>
      <c r="K34" s="3">
        <f t="shared" si="0"/>
        <v>22408.707091133387</v>
      </c>
      <c r="L34" s="3">
        <f t="shared" ref="L34:P34" si="1">AVERAGE(L2:L33)</f>
        <v>126.28530225947432</v>
      </c>
      <c r="M34" s="3">
        <f t="shared" si="1"/>
        <v>0.85941434501774006</v>
      </c>
      <c r="N34" s="3">
        <f t="shared" si="1"/>
        <v>20806.498891520594</v>
      </c>
      <c r="O34" s="3">
        <f t="shared" si="1"/>
        <v>123.47736328777874</v>
      </c>
      <c r="P34" s="3">
        <f t="shared" si="1"/>
        <v>0.68564752906696691</v>
      </c>
      <c r="R34" s="4" t="s">
        <v>116</v>
      </c>
    </row>
    <row r="35" spans="1:18" x14ac:dyDescent="0.2">
      <c r="R35" s="4" t="s">
        <v>75</v>
      </c>
    </row>
    <row r="36" spans="1:18" x14ac:dyDescent="0.2">
      <c r="R36" s="4" t="s">
        <v>117</v>
      </c>
    </row>
    <row r="37" spans="1:18" x14ac:dyDescent="0.2">
      <c r="R37" s="4" t="s">
        <v>29</v>
      </c>
    </row>
    <row r="38" spans="1:18" x14ac:dyDescent="0.2">
      <c r="R38" s="4" t="s">
        <v>118</v>
      </c>
    </row>
    <row r="39" spans="1:18" x14ac:dyDescent="0.2">
      <c r="A39" t="s">
        <v>89</v>
      </c>
      <c r="R39" s="4" t="s">
        <v>26</v>
      </c>
    </row>
    <row r="40" spans="1:18" ht="51" x14ac:dyDescent="0.2">
      <c r="A40" s="1" t="s">
        <v>0</v>
      </c>
      <c r="B40" s="2" t="s">
        <v>1</v>
      </c>
      <c r="C40" s="1" t="s">
        <v>2</v>
      </c>
      <c r="D40" s="1" t="s">
        <v>3</v>
      </c>
      <c r="E40" s="2" t="s">
        <v>4</v>
      </c>
      <c r="F40" s="1" t="s">
        <v>5</v>
      </c>
      <c r="G40" s="1" t="s">
        <v>6</v>
      </c>
      <c r="H40" s="2" t="s">
        <v>7</v>
      </c>
      <c r="I40" s="1" t="s">
        <v>8</v>
      </c>
      <c r="J40" s="1" t="s">
        <v>9</v>
      </c>
      <c r="K40" s="2" t="s">
        <v>10</v>
      </c>
      <c r="L40" s="1" t="s">
        <v>11</v>
      </c>
      <c r="M40" s="1" t="s">
        <v>12</v>
      </c>
      <c r="N40" s="2" t="s">
        <v>13</v>
      </c>
      <c r="O40" s="1" t="s">
        <v>14</v>
      </c>
      <c r="P40" s="1" t="s">
        <v>15</v>
      </c>
      <c r="R40" s="4" t="s">
        <v>119</v>
      </c>
    </row>
    <row r="41" spans="1:18" x14ac:dyDescent="0.2">
      <c r="A41">
        <v>47</v>
      </c>
      <c r="B41" s="3">
        <f>B2/MIN(B2,E2,H2,K2,N2)</f>
        <v>1.2234105103458006</v>
      </c>
      <c r="C41">
        <f>C2</f>
        <v>133.29075574874801</v>
      </c>
      <c r="D41">
        <f>D2</f>
        <v>0.59815004268349603</v>
      </c>
      <c r="E41" s="3">
        <f>E2/MIN(B2,E2,H2,K2,N2)</f>
        <v>1.1364219060593452</v>
      </c>
      <c r="F41">
        <f>F2</f>
        <v>124.46870657701101</v>
      </c>
      <c r="G41">
        <f>G2</f>
        <v>0.59550928053681895</v>
      </c>
      <c r="H41" s="3">
        <f>H2/MIN(B2,E2,H2,K2,N2)</f>
        <v>1.0836109002860581</v>
      </c>
      <c r="I41">
        <f>I2</f>
        <v>130.50330806617001</v>
      </c>
      <c r="J41">
        <f>J2</f>
        <v>0.612585659538186</v>
      </c>
      <c r="K41" s="3">
        <f>K2/MIN($B2,$E2,$H2,$K2,$N2)</f>
        <v>1.359535820679556</v>
      </c>
      <c r="L41">
        <f>L2</f>
        <v>129.57438859322599</v>
      </c>
      <c r="M41">
        <f>M2</f>
        <v>0.77543471718783097</v>
      </c>
      <c r="N41" s="3">
        <f>N2/MIN($B2,$E2,$H2,$K2,$N2)</f>
        <v>1</v>
      </c>
      <c r="O41">
        <f>O2</f>
        <v>126.68864211663499</v>
      </c>
      <c r="P41">
        <f>P2</f>
        <v>0.54527451519169701</v>
      </c>
      <c r="R41" s="4" t="s">
        <v>30</v>
      </c>
    </row>
    <row r="42" spans="1:18" x14ac:dyDescent="0.2">
      <c r="A42">
        <v>65</v>
      </c>
      <c r="B42" s="3">
        <f>B3/MIN(B3,E3,H3,K3,N3)</f>
        <v>1.1806717818912069</v>
      </c>
      <c r="C42">
        <f t="shared" ref="C42:D72" si="2">C3</f>
        <v>181.69518709182699</v>
      </c>
      <c r="D42">
        <f t="shared" si="2"/>
        <v>0.95380329932544194</v>
      </c>
      <c r="E42" s="3">
        <f t="shared" ref="E42:E72" si="3">E3/MIN(B3,E3,H3,K3,N3)</f>
        <v>1.0694989263378685</v>
      </c>
      <c r="F42">
        <f t="shared" ref="F42:G72" si="4">F3</f>
        <v>179.19803551747</v>
      </c>
      <c r="G42">
        <f t="shared" si="4"/>
        <v>0.99346582017927998</v>
      </c>
      <c r="H42" s="3">
        <f t="shared" ref="H42:H72" si="5">H3/MIN(B3,E3,H3,K3,N3)</f>
        <v>1</v>
      </c>
      <c r="I42">
        <f t="shared" ref="I42:J72" si="6">I3</f>
        <v>171.01230153080999</v>
      </c>
      <c r="J42">
        <f t="shared" si="6"/>
        <v>0.92682828975631804</v>
      </c>
      <c r="K42" s="3">
        <f t="shared" ref="K42:K72" si="7">K3/MIN($B3,$E3,$H3,$K3,$N3)</f>
        <v>1.015860163213133</v>
      </c>
      <c r="L42">
        <f t="shared" ref="L42:M72" si="8">L3</f>
        <v>171.004401903191</v>
      </c>
      <c r="M42">
        <f t="shared" si="8"/>
        <v>1.0413216601676201</v>
      </c>
      <c r="N42" s="3">
        <f t="shared" ref="N42:N72" si="9">N3/MIN($B3,$E3,$H3,$K3,$N3)</f>
        <v>1.0011164881734707</v>
      </c>
      <c r="O42">
        <f t="shared" ref="O42:P72" si="10">O3</f>
        <v>173.816767900445</v>
      </c>
      <c r="P42">
        <f t="shared" si="10"/>
        <v>0.87923112759533095</v>
      </c>
      <c r="R42" s="4" t="s">
        <v>120</v>
      </c>
    </row>
    <row r="43" spans="1:18" x14ac:dyDescent="0.2">
      <c r="A43">
        <v>98</v>
      </c>
      <c r="B43" s="3">
        <f t="shared" ref="B43:B72" si="11">B4/MIN(B4,E4,H4,K4,N4)</f>
        <v>6.7978981831847252</v>
      </c>
      <c r="C43">
        <f t="shared" si="2"/>
        <v>196.43741846084501</v>
      </c>
      <c r="D43">
        <f t="shared" si="2"/>
        <v>2.1752705972195701</v>
      </c>
      <c r="E43" s="3">
        <f t="shared" si="3"/>
        <v>1</v>
      </c>
      <c r="F43">
        <f t="shared" si="4"/>
        <v>198.655282308875</v>
      </c>
      <c r="G43">
        <f t="shared" si="4"/>
        <v>0.34840919764515299</v>
      </c>
      <c r="H43" s="3">
        <f t="shared" si="5"/>
        <v>2.0987763868853668</v>
      </c>
      <c r="I43">
        <f t="shared" si="6"/>
        <v>194.31376048425599</v>
      </c>
      <c r="J43">
        <f t="shared" si="6"/>
        <v>0.85875386603328596</v>
      </c>
      <c r="K43" s="3">
        <f t="shared" si="7"/>
        <v>2.8686581213565798</v>
      </c>
      <c r="L43">
        <f t="shared" si="8"/>
        <v>194.943071855238</v>
      </c>
      <c r="M43">
        <f t="shared" si="8"/>
        <v>0.99528390375728104</v>
      </c>
      <c r="N43" s="3">
        <f t="shared" si="9"/>
        <v>1.1822147332505846</v>
      </c>
      <c r="O43">
        <f t="shared" si="10"/>
        <v>195.14484273768801</v>
      </c>
      <c r="P43">
        <f t="shared" si="10"/>
        <v>0.42977291517643801</v>
      </c>
      <c r="R43" s="4" t="s">
        <v>28</v>
      </c>
    </row>
    <row r="44" spans="1:18" x14ac:dyDescent="0.2">
      <c r="A44">
        <v>114</v>
      </c>
      <c r="B44" s="3">
        <f t="shared" si="11"/>
        <v>1.3242157953284868</v>
      </c>
      <c r="C44">
        <f t="shared" si="2"/>
        <v>67.844569683074894</v>
      </c>
      <c r="D44">
        <f t="shared" si="2"/>
        <v>0.78647231442194498</v>
      </c>
      <c r="E44" s="3">
        <f t="shared" si="3"/>
        <v>1.2614014743060444</v>
      </c>
      <c r="F44">
        <f t="shared" si="4"/>
        <v>52.295170773032503</v>
      </c>
      <c r="G44">
        <f t="shared" si="4"/>
        <v>0.6589834757659</v>
      </c>
      <c r="H44" s="3">
        <f t="shared" si="5"/>
        <v>1.1041050985254492</v>
      </c>
      <c r="I44">
        <f t="shared" si="6"/>
        <v>48.9013336812529</v>
      </c>
      <c r="J44">
        <f t="shared" si="6"/>
        <v>0.61490637426816597</v>
      </c>
      <c r="K44" s="3">
        <f t="shared" si="7"/>
        <v>1</v>
      </c>
      <c r="L44">
        <f t="shared" si="8"/>
        <v>50.106935101515496</v>
      </c>
      <c r="M44">
        <f t="shared" si="8"/>
        <v>0.59115534638866196</v>
      </c>
      <c r="N44" s="3">
        <f t="shared" si="9"/>
        <v>1.0530636719133473</v>
      </c>
      <c r="O44">
        <f t="shared" si="10"/>
        <v>48.966605532678599</v>
      </c>
      <c r="P44">
        <f t="shared" si="10"/>
        <v>0.57740948272762305</v>
      </c>
      <c r="R44" s="4" t="s">
        <v>31</v>
      </c>
    </row>
    <row r="45" spans="1:18" x14ac:dyDescent="0.2">
      <c r="A45">
        <v>123</v>
      </c>
      <c r="B45" s="3">
        <f t="shared" si="11"/>
        <v>1.2372111383695041</v>
      </c>
      <c r="C45">
        <f t="shared" si="2"/>
        <v>146.03302478790201</v>
      </c>
      <c r="D45">
        <f t="shared" si="2"/>
        <v>1.24305771833776</v>
      </c>
      <c r="E45" s="3">
        <f t="shared" si="3"/>
        <v>1.01735137140607</v>
      </c>
      <c r="F45">
        <f t="shared" si="4"/>
        <v>121.95017267975</v>
      </c>
      <c r="G45">
        <f t="shared" si="4"/>
        <v>0.99921980378140496</v>
      </c>
      <c r="H45" s="3">
        <f t="shared" si="5"/>
        <v>1</v>
      </c>
      <c r="I45">
        <f t="shared" si="6"/>
        <v>120.23352662248701</v>
      </c>
      <c r="J45">
        <f t="shared" si="6"/>
        <v>0.98986455244307203</v>
      </c>
      <c r="K45" s="3">
        <f t="shared" si="7"/>
        <v>1.0801455334945411</v>
      </c>
      <c r="L45">
        <f t="shared" si="8"/>
        <v>125.252634567633</v>
      </c>
      <c r="M45">
        <f t="shared" si="8"/>
        <v>1.0253883454599</v>
      </c>
      <c r="N45" s="3">
        <f t="shared" si="9"/>
        <v>1.1337394729071093</v>
      </c>
      <c r="O45">
        <f t="shared" si="10"/>
        <v>134.00121302929301</v>
      </c>
      <c r="P45">
        <f t="shared" si="10"/>
        <v>1.0771934017110101</v>
      </c>
      <c r="R45" s="4" t="s">
        <v>121</v>
      </c>
    </row>
    <row r="46" spans="1:18" x14ac:dyDescent="0.2">
      <c r="A46">
        <v>168</v>
      </c>
      <c r="B46" s="3">
        <f t="shared" si="11"/>
        <v>1.0805062521801996</v>
      </c>
      <c r="C46">
        <f t="shared" si="2"/>
        <v>139.29594755172701</v>
      </c>
      <c r="D46">
        <f t="shared" si="2"/>
        <v>0.94498388943205602</v>
      </c>
      <c r="E46" s="3">
        <f t="shared" si="3"/>
        <v>1.3029402856589243</v>
      </c>
      <c r="F46">
        <f t="shared" si="4"/>
        <v>139.36390958595899</v>
      </c>
      <c r="G46">
        <f t="shared" si="4"/>
        <v>1.3221926509023001</v>
      </c>
      <c r="H46" s="3">
        <f t="shared" si="5"/>
        <v>1.0870394334544367</v>
      </c>
      <c r="I46">
        <f t="shared" si="6"/>
        <v>128.15250261475899</v>
      </c>
      <c r="J46">
        <f t="shared" si="6"/>
        <v>0.99489967134577495</v>
      </c>
      <c r="K46" s="3">
        <f t="shared" si="7"/>
        <v>1</v>
      </c>
      <c r="L46">
        <f t="shared" si="8"/>
        <v>138.856035082891</v>
      </c>
      <c r="M46">
        <f t="shared" si="8"/>
        <v>1.0525619099211401</v>
      </c>
      <c r="N46" s="3">
        <f t="shared" si="9"/>
        <v>1.0567282140742424</v>
      </c>
      <c r="O46">
        <f t="shared" si="10"/>
        <v>124.649453199744</v>
      </c>
      <c r="P46">
        <f t="shared" si="10"/>
        <v>0.95760689257982201</v>
      </c>
      <c r="R46" s="4" t="s">
        <v>73</v>
      </c>
    </row>
    <row r="47" spans="1:18" x14ac:dyDescent="0.2">
      <c r="A47">
        <v>172</v>
      </c>
      <c r="B47" s="3">
        <f t="shared" si="11"/>
        <v>1.2846286208170787</v>
      </c>
      <c r="C47">
        <f t="shared" si="2"/>
        <v>128.069984912872</v>
      </c>
      <c r="D47">
        <f t="shared" si="2"/>
        <v>0.66087309003235895</v>
      </c>
      <c r="E47" s="3">
        <f t="shared" si="3"/>
        <v>1.1456279814708927</v>
      </c>
      <c r="F47">
        <f t="shared" si="4"/>
        <v>122.744314063288</v>
      </c>
      <c r="G47">
        <f t="shared" si="4"/>
        <v>0.78170999555890597</v>
      </c>
      <c r="H47" s="3">
        <f t="shared" si="5"/>
        <v>1</v>
      </c>
      <c r="I47">
        <f t="shared" si="6"/>
        <v>121.667059056775</v>
      </c>
      <c r="J47">
        <f t="shared" si="6"/>
        <v>0.70235626420721797</v>
      </c>
      <c r="K47" s="3">
        <f t="shared" si="7"/>
        <v>1.4301842068077977</v>
      </c>
      <c r="L47">
        <f t="shared" si="8"/>
        <v>135.96506727755499</v>
      </c>
      <c r="M47">
        <f t="shared" si="8"/>
        <v>1.1750364949280301</v>
      </c>
      <c r="N47" s="3">
        <f t="shared" si="9"/>
        <v>1.0735538255062094</v>
      </c>
      <c r="O47">
        <f t="shared" si="10"/>
        <v>111.378733003703</v>
      </c>
      <c r="P47">
        <f t="shared" si="10"/>
        <v>0.58000532761207002</v>
      </c>
      <c r="R47" s="4" t="s">
        <v>122</v>
      </c>
    </row>
    <row r="48" spans="1:18" x14ac:dyDescent="0.2">
      <c r="A48">
        <v>185</v>
      </c>
      <c r="B48" s="3">
        <f t="shared" si="11"/>
        <v>1.0313486134683596</v>
      </c>
      <c r="C48">
        <f t="shared" si="2"/>
        <v>93.746918439865098</v>
      </c>
      <c r="D48">
        <f t="shared" si="2"/>
        <v>0.76304974663171099</v>
      </c>
      <c r="E48" s="3">
        <f t="shared" si="3"/>
        <v>1.0196396573994717</v>
      </c>
      <c r="F48">
        <f t="shared" si="4"/>
        <v>97.700367494684201</v>
      </c>
      <c r="G48">
        <f t="shared" si="4"/>
        <v>0.85835183006424198</v>
      </c>
      <c r="H48" s="3">
        <f t="shared" si="5"/>
        <v>1.0495250084429535</v>
      </c>
      <c r="I48">
        <f t="shared" si="6"/>
        <v>97.740132862870496</v>
      </c>
      <c r="J48">
        <f t="shared" si="6"/>
        <v>0.89226379131125</v>
      </c>
      <c r="K48" s="3">
        <f t="shared" si="7"/>
        <v>1.0366258579660188</v>
      </c>
      <c r="L48">
        <f t="shared" si="8"/>
        <v>93.180502669229199</v>
      </c>
      <c r="M48">
        <f t="shared" si="8"/>
        <v>0.76217781998732603</v>
      </c>
      <c r="N48" s="3">
        <f t="shared" si="9"/>
        <v>1</v>
      </c>
      <c r="O48">
        <f t="shared" si="10"/>
        <v>94.199724074108303</v>
      </c>
      <c r="P48">
        <f t="shared" si="10"/>
        <v>0.71218128250315704</v>
      </c>
      <c r="R48" s="4" t="s">
        <v>123</v>
      </c>
    </row>
    <row r="49" spans="1:18" x14ac:dyDescent="0.2">
      <c r="A49">
        <v>195</v>
      </c>
      <c r="B49" s="3">
        <f t="shared" si="11"/>
        <v>1.3099268473997812</v>
      </c>
      <c r="C49">
        <f t="shared" si="2"/>
        <v>120.31148672103799</v>
      </c>
      <c r="D49">
        <f t="shared" si="2"/>
        <v>0.73327651488094203</v>
      </c>
      <c r="E49" s="3">
        <f t="shared" si="3"/>
        <v>1</v>
      </c>
      <c r="F49">
        <f t="shared" si="4"/>
        <v>90.783409211563495</v>
      </c>
      <c r="G49">
        <f t="shared" si="4"/>
        <v>0.52772235836524095</v>
      </c>
      <c r="H49" s="3">
        <f t="shared" si="5"/>
        <v>1.0907995182641761</v>
      </c>
      <c r="I49">
        <f t="shared" si="6"/>
        <v>98.165179717241102</v>
      </c>
      <c r="J49">
        <f t="shared" si="6"/>
        <v>0.63989971238194399</v>
      </c>
      <c r="K49" s="3">
        <f t="shared" si="7"/>
        <v>1.1024262089813905</v>
      </c>
      <c r="L49">
        <f t="shared" si="8"/>
        <v>96.547170346374799</v>
      </c>
      <c r="M49">
        <f t="shared" si="8"/>
        <v>0.59610716705121103</v>
      </c>
      <c r="N49" s="3">
        <f t="shared" si="9"/>
        <v>1.0950863573471052</v>
      </c>
      <c r="O49">
        <f t="shared" si="10"/>
        <v>106.405468102569</v>
      </c>
      <c r="P49">
        <f t="shared" si="10"/>
        <v>0.54061099711667504</v>
      </c>
      <c r="R49" s="4" t="s">
        <v>124</v>
      </c>
    </row>
    <row r="50" spans="1:18" x14ac:dyDescent="0.2">
      <c r="A50">
        <v>197</v>
      </c>
      <c r="B50" s="3">
        <f t="shared" si="11"/>
        <v>1.2073010086387803</v>
      </c>
      <c r="C50">
        <f t="shared" si="2"/>
        <v>148.24911355972199</v>
      </c>
      <c r="D50">
        <f t="shared" si="2"/>
        <v>0.94585924447421899</v>
      </c>
      <c r="E50" s="3">
        <f t="shared" si="3"/>
        <v>1.0474938401839256</v>
      </c>
      <c r="F50">
        <f t="shared" si="4"/>
        <v>139.818165296465</v>
      </c>
      <c r="G50">
        <f t="shared" si="4"/>
        <v>0.83446832872863996</v>
      </c>
      <c r="H50" s="3">
        <f t="shared" si="5"/>
        <v>1.0001215391289651</v>
      </c>
      <c r="I50">
        <f t="shared" si="6"/>
        <v>141.91532531953001</v>
      </c>
      <c r="J50">
        <f t="shared" si="6"/>
        <v>0.85801227988377304</v>
      </c>
      <c r="K50" s="3">
        <f t="shared" si="7"/>
        <v>1</v>
      </c>
      <c r="L50">
        <f t="shared" si="8"/>
        <v>149.35730989545399</v>
      </c>
      <c r="M50">
        <f t="shared" si="8"/>
        <v>0.77072076462607897</v>
      </c>
      <c r="N50" s="3">
        <f t="shared" si="9"/>
        <v>1.0067496423109159</v>
      </c>
      <c r="O50">
        <f t="shared" si="10"/>
        <v>137.26120171443799</v>
      </c>
      <c r="P50">
        <f t="shared" si="10"/>
        <v>0.74429985933598797</v>
      </c>
      <c r="R50" s="4" t="s">
        <v>72</v>
      </c>
    </row>
    <row r="51" spans="1:18" x14ac:dyDescent="0.2">
      <c r="A51">
        <v>237</v>
      </c>
      <c r="B51" s="3">
        <f t="shared" si="11"/>
        <v>1</v>
      </c>
      <c r="C51">
        <f t="shared" si="2"/>
        <v>125.758564472198</v>
      </c>
      <c r="D51">
        <f t="shared" si="2"/>
        <v>0.61650060315199895</v>
      </c>
      <c r="E51" s="3">
        <f t="shared" si="3"/>
        <v>1.1042700851303571</v>
      </c>
      <c r="F51">
        <f t="shared" si="4"/>
        <v>125.235767098729</v>
      </c>
      <c r="G51">
        <f t="shared" si="4"/>
        <v>0.54339941350544196</v>
      </c>
      <c r="H51" s="3">
        <f t="shared" si="5"/>
        <v>1.1494574217866262</v>
      </c>
      <c r="I51">
        <f t="shared" si="6"/>
        <v>120.74833407448099</v>
      </c>
      <c r="J51">
        <f t="shared" si="6"/>
        <v>0.704458186758806</v>
      </c>
      <c r="K51" s="3">
        <f t="shared" si="7"/>
        <v>1.0860862130624604</v>
      </c>
      <c r="L51">
        <f t="shared" si="8"/>
        <v>118.81284244830699</v>
      </c>
      <c r="M51">
        <f t="shared" si="8"/>
        <v>0.62339880290991501</v>
      </c>
      <c r="N51" s="3">
        <f t="shared" si="9"/>
        <v>1.0117393836356221</v>
      </c>
      <c r="O51">
        <f t="shared" si="10"/>
        <v>116.943803401498</v>
      </c>
      <c r="P51">
        <f t="shared" si="10"/>
        <v>0.55303419380041197</v>
      </c>
      <c r="R51" s="4" t="s">
        <v>125</v>
      </c>
    </row>
    <row r="52" spans="1:18" x14ac:dyDescent="0.2">
      <c r="A52">
        <v>272</v>
      </c>
      <c r="B52" s="3">
        <f t="shared" si="11"/>
        <v>1.5714752808928454</v>
      </c>
      <c r="C52">
        <f t="shared" si="2"/>
        <v>156.22085332870401</v>
      </c>
      <c r="D52">
        <f t="shared" si="2"/>
        <v>1.20068435888561</v>
      </c>
      <c r="E52" s="3">
        <f t="shared" si="3"/>
        <v>1.0223780686715129</v>
      </c>
      <c r="F52">
        <f t="shared" si="4"/>
        <v>145.14119736861201</v>
      </c>
      <c r="G52">
        <f t="shared" si="4"/>
        <v>0.84864270259796903</v>
      </c>
      <c r="H52" s="3">
        <f t="shared" si="5"/>
        <v>1</v>
      </c>
      <c r="I52">
        <f t="shared" si="6"/>
        <v>140.12199152707399</v>
      </c>
      <c r="J52">
        <f t="shared" si="6"/>
        <v>0.72116145519364205</v>
      </c>
      <c r="K52" s="3">
        <f t="shared" si="7"/>
        <v>1.0359135179040551</v>
      </c>
      <c r="L52">
        <f t="shared" si="8"/>
        <v>139.694917667369</v>
      </c>
      <c r="M52">
        <f t="shared" si="8"/>
        <v>0.91666063197485803</v>
      </c>
      <c r="N52" s="3">
        <f t="shared" si="9"/>
        <v>1.0749850929899625</v>
      </c>
      <c r="O52">
        <f t="shared" si="10"/>
        <v>145.91419740484099</v>
      </c>
      <c r="P52">
        <f t="shared" si="10"/>
        <v>0.77279829342526596</v>
      </c>
      <c r="R52" s="4" t="s">
        <v>126</v>
      </c>
    </row>
    <row r="53" spans="1:18" x14ac:dyDescent="0.2">
      <c r="A53">
        <v>279</v>
      </c>
      <c r="B53" s="3">
        <f t="shared" si="11"/>
        <v>1.5414592916253249</v>
      </c>
      <c r="C53">
        <f t="shared" si="2"/>
        <v>110.634052753448</v>
      </c>
      <c r="D53">
        <f t="shared" si="2"/>
        <v>0.86222980214468603</v>
      </c>
      <c r="E53" s="3">
        <f t="shared" si="3"/>
        <v>1</v>
      </c>
      <c r="F53">
        <f t="shared" si="4"/>
        <v>91.364041413681093</v>
      </c>
      <c r="G53">
        <f t="shared" si="4"/>
        <v>0.57707656543660402</v>
      </c>
      <c r="H53" s="3">
        <f t="shared" si="5"/>
        <v>1.0186977204078165</v>
      </c>
      <c r="I53">
        <f t="shared" si="6"/>
        <v>99.576074725551393</v>
      </c>
      <c r="J53">
        <f t="shared" si="6"/>
        <v>0.59377462464161501</v>
      </c>
      <c r="K53" s="3">
        <f t="shared" si="7"/>
        <v>1.8255152555630434</v>
      </c>
      <c r="L53">
        <f t="shared" si="8"/>
        <v>120.579819515642</v>
      </c>
      <c r="M53">
        <f t="shared" si="8"/>
        <v>1.09050769642055</v>
      </c>
      <c r="N53" s="3">
        <f t="shared" si="9"/>
        <v>1.1261215416064083</v>
      </c>
      <c r="O53">
        <f t="shared" si="10"/>
        <v>103.66393577655001</v>
      </c>
      <c r="P53">
        <f t="shared" si="10"/>
        <v>0.66614653085633801</v>
      </c>
      <c r="R53" s="4" t="s">
        <v>127</v>
      </c>
    </row>
    <row r="54" spans="1:18" x14ac:dyDescent="0.2">
      <c r="A54">
        <v>709</v>
      </c>
      <c r="B54" s="3">
        <f t="shared" si="11"/>
        <v>2.6729741051235809</v>
      </c>
      <c r="C54">
        <f t="shared" si="2"/>
        <v>137.17983961105301</v>
      </c>
      <c r="D54">
        <f t="shared" si="2"/>
        <v>4.0138686899839703E-2</v>
      </c>
      <c r="E54" s="3">
        <f t="shared" si="3"/>
        <v>1.1465741064906572</v>
      </c>
      <c r="F54">
        <f t="shared" si="4"/>
        <v>183.67090019803399</v>
      </c>
      <c r="G54">
        <f t="shared" si="4"/>
        <v>1.2730766131148199E-2</v>
      </c>
      <c r="H54" s="3">
        <f t="shared" si="5"/>
        <v>2.5252758518178853</v>
      </c>
      <c r="I54">
        <f t="shared" si="6"/>
        <v>158.62121077345799</v>
      </c>
      <c r="J54">
        <f t="shared" si="6"/>
        <v>3.7476904706485799E-2</v>
      </c>
      <c r="K54" s="3">
        <f t="shared" si="7"/>
        <v>1</v>
      </c>
      <c r="L54">
        <f t="shared" si="8"/>
        <v>131.392806989555</v>
      </c>
      <c r="M54">
        <f t="shared" si="8"/>
        <v>1.24902942010211E-2</v>
      </c>
      <c r="N54" s="3">
        <f t="shared" si="9"/>
        <v>1.2385558693983245</v>
      </c>
      <c r="O54">
        <f t="shared" si="10"/>
        <v>162.58991309197</v>
      </c>
      <c r="P54">
        <f t="shared" si="10"/>
        <v>1.91792186757258E-2</v>
      </c>
      <c r="R54" s="4" t="s">
        <v>128</v>
      </c>
    </row>
    <row r="55" spans="1:18" x14ac:dyDescent="0.2">
      <c r="A55">
        <v>712</v>
      </c>
      <c r="B55" s="3">
        <f t="shared" si="11"/>
        <v>1.125099220388722</v>
      </c>
      <c r="C55">
        <f t="shared" si="2"/>
        <v>143.663263320922</v>
      </c>
      <c r="D55">
        <f t="shared" si="2"/>
        <v>0.59244180705661598</v>
      </c>
      <c r="E55" s="3">
        <f t="shared" si="3"/>
        <v>1.0489686918184689</v>
      </c>
      <c r="F55">
        <f t="shared" si="4"/>
        <v>129.52510133865599</v>
      </c>
      <c r="G55">
        <f t="shared" si="4"/>
        <v>0.66111218449446796</v>
      </c>
      <c r="H55" s="3">
        <f t="shared" si="5"/>
        <v>1</v>
      </c>
      <c r="I55">
        <f t="shared" si="6"/>
        <v>128.270237024425</v>
      </c>
      <c r="J55">
        <f t="shared" si="6"/>
        <v>0.66645788688537999</v>
      </c>
      <c r="K55" s="3">
        <f t="shared" si="7"/>
        <v>1.4032485870917701</v>
      </c>
      <c r="L55">
        <f t="shared" si="8"/>
        <v>138.24890269833099</v>
      </c>
      <c r="M55">
        <f t="shared" si="8"/>
        <v>1.0786188720909</v>
      </c>
      <c r="N55" s="3">
        <f t="shared" si="9"/>
        <v>1.0315436762356052</v>
      </c>
      <c r="O55">
        <f t="shared" si="10"/>
        <v>127.618117220416</v>
      </c>
      <c r="P55">
        <f t="shared" si="10"/>
        <v>0.70650947511711104</v>
      </c>
      <c r="R55" s="4" t="s">
        <v>129</v>
      </c>
    </row>
    <row r="56" spans="1:18" x14ac:dyDescent="0.2">
      <c r="A56">
        <v>714</v>
      </c>
      <c r="B56" s="3">
        <f t="shared" si="11"/>
        <v>4.5236751310349508</v>
      </c>
      <c r="C56">
        <f t="shared" si="2"/>
        <v>165.26553630828801</v>
      </c>
      <c r="D56">
        <f t="shared" si="2"/>
        <v>0.73480253666669704</v>
      </c>
      <c r="E56" s="3">
        <f t="shared" si="3"/>
        <v>1</v>
      </c>
      <c r="F56">
        <f t="shared" si="4"/>
        <v>115.85790890621099</v>
      </c>
      <c r="G56">
        <f t="shared" si="4"/>
        <v>0.27313364596908402</v>
      </c>
      <c r="H56" s="3">
        <f t="shared" si="5"/>
        <v>1.6758896482110579</v>
      </c>
      <c r="I56">
        <f t="shared" si="6"/>
        <v>143.23466437213401</v>
      </c>
      <c r="J56">
        <f t="shared" si="6"/>
        <v>0.47297392501805202</v>
      </c>
      <c r="K56" s="3">
        <f t="shared" si="7"/>
        <v>1.245014496718974</v>
      </c>
      <c r="L56">
        <f t="shared" si="8"/>
        <v>163.34217408105499</v>
      </c>
      <c r="M56">
        <f t="shared" si="8"/>
        <v>0.26923576974215602</v>
      </c>
      <c r="N56" s="3">
        <f t="shared" si="9"/>
        <v>1.4328637338377961</v>
      </c>
      <c r="O56">
        <f t="shared" si="10"/>
        <v>171.48504846074201</v>
      </c>
      <c r="P56">
        <f t="shared" si="10"/>
        <v>0.29453796937035898</v>
      </c>
      <c r="R56" s="4" t="s">
        <v>130</v>
      </c>
    </row>
    <row r="57" spans="1:18" x14ac:dyDescent="0.2">
      <c r="A57">
        <v>722</v>
      </c>
      <c r="B57" s="3">
        <f t="shared" si="11"/>
        <v>1.418961273587463</v>
      </c>
      <c r="C57">
        <f t="shared" si="2"/>
        <v>121.367502212524</v>
      </c>
      <c r="D57">
        <f t="shared" si="2"/>
        <v>0.91701286113846803</v>
      </c>
      <c r="E57" s="3">
        <f t="shared" si="3"/>
        <v>1.2326538654178569</v>
      </c>
      <c r="F57">
        <f t="shared" si="4"/>
        <v>119.58094322038301</v>
      </c>
      <c r="G57">
        <f t="shared" si="4"/>
        <v>0.83321798769566302</v>
      </c>
      <c r="H57" s="3">
        <f t="shared" si="5"/>
        <v>1</v>
      </c>
      <c r="I57">
        <f t="shared" si="6"/>
        <v>108.16491433978599</v>
      </c>
      <c r="J57">
        <f t="shared" si="6"/>
        <v>0.62391185121609205</v>
      </c>
      <c r="K57" s="3">
        <f t="shared" si="7"/>
        <v>1.0373506616451957</v>
      </c>
      <c r="L57">
        <f t="shared" si="8"/>
        <v>105.880738452038</v>
      </c>
      <c r="M57">
        <f t="shared" si="8"/>
        <v>0.67113127812172901</v>
      </c>
      <c r="N57" s="3">
        <f t="shared" si="9"/>
        <v>1.1242218274273519</v>
      </c>
      <c r="O57">
        <f t="shared" si="10"/>
        <v>116.346124995689</v>
      </c>
      <c r="P57">
        <f t="shared" si="10"/>
        <v>0.70699602578333398</v>
      </c>
      <c r="R57" s="4" t="s">
        <v>131</v>
      </c>
    </row>
    <row r="58" spans="1:18" x14ac:dyDescent="0.2">
      <c r="A58">
        <v>724</v>
      </c>
      <c r="B58" s="3">
        <f t="shared" si="11"/>
        <v>1.3494404664440505</v>
      </c>
      <c r="C58">
        <f t="shared" si="2"/>
        <v>75.338351726531897</v>
      </c>
      <c r="D58">
        <f t="shared" si="2"/>
        <v>0.92304427042968895</v>
      </c>
      <c r="E58" s="3">
        <f t="shared" si="3"/>
        <v>1.1017169546749752</v>
      </c>
      <c r="F58">
        <f t="shared" si="4"/>
        <v>62.0953075805023</v>
      </c>
      <c r="G58">
        <f t="shared" si="4"/>
        <v>0.76970395255276502</v>
      </c>
      <c r="H58" s="3">
        <f t="shared" si="5"/>
        <v>1</v>
      </c>
      <c r="I58">
        <f t="shared" si="6"/>
        <v>58.453580559823102</v>
      </c>
      <c r="J58">
        <f t="shared" si="6"/>
        <v>0.69124403646079502</v>
      </c>
      <c r="K58" s="3">
        <f t="shared" si="7"/>
        <v>1.0405137448994422</v>
      </c>
      <c r="L58">
        <f t="shared" si="8"/>
        <v>65.762380709853602</v>
      </c>
      <c r="M58">
        <f t="shared" si="8"/>
        <v>0.78281328108086301</v>
      </c>
      <c r="N58" s="3">
        <f t="shared" si="9"/>
        <v>1.1537763919544068</v>
      </c>
      <c r="O58">
        <f t="shared" si="10"/>
        <v>67.755491310457501</v>
      </c>
      <c r="P58">
        <f t="shared" si="10"/>
        <v>0.84621341944189499</v>
      </c>
      <c r="R58" s="4" t="s">
        <v>132</v>
      </c>
    </row>
    <row r="59" spans="1:18" x14ac:dyDescent="0.2">
      <c r="A59">
        <v>749</v>
      </c>
      <c r="B59" s="3">
        <f t="shared" si="11"/>
        <v>3.0421460752595215</v>
      </c>
      <c r="C59">
        <f t="shared" si="2"/>
        <v>131.71900510787901</v>
      </c>
      <c r="D59">
        <f t="shared" si="2"/>
        <v>2.1137895032509899</v>
      </c>
      <c r="E59" s="3">
        <f t="shared" si="3"/>
        <v>1</v>
      </c>
      <c r="F59">
        <f t="shared" si="4"/>
        <v>104.79200705662301</v>
      </c>
      <c r="G59">
        <f t="shared" si="4"/>
        <v>0.67526558216079302</v>
      </c>
      <c r="H59" s="3">
        <f t="shared" si="5"/>
        <v>1.0516949519736554</v>
      </c>
      <c r="I59">
        <f t="shared" si="6"/>
        <v>113.079441443131</v>
      </c>
      <c r="J59">
        <f t="shared" si="6"/>
        <v>0.76592285334425003</v>
      </c>
      <c r="K59" s="3">
        <f t="shared" si="7"/>
        <v>1.1850032017908108</v>
      </c>
      <c r="L59">
        <f t="shared" si="8"/>
        <v>123.486395012434</v>
      </c>
      <c r="M59">
        <f t="shared" si="8"/>
        <v>0.98966111216417096</v>
      </c>
      <c r="N59" s="3">
        <f t="shared" si="9"/>
        <v>1.3360944385995157</v>
      </c>
      <c r="O59">
        <f t="shared" si="10"/>
        <v>112.952617482699</v>
      </c>
      <c r="P59">
        <f t="shared" si="10"/>
        <v>0.93403088773276</v>
      </c>
    </row>
    <row r="60" spans="1:18" x14ac:dyDescent="0.2">
      <c r="A60">
        <v>777</v>
      </c>
      <c r="B60" s="3">
        <f t="shared" si="11"/>
        <v>1.5182468790956947</v>
      </c>
      <c r="C60">
        <f t="shared" si="2"/>
        <v>152.62081623077299</v>
      </c>
      <c r="D60">
        <f t="shared" si="2"/>
        <v>0.88959056524790603</v>
      </c>
      <c r="E60" s="3">
        <f t="shared" si="3"/>
        <v>1.0299086123196903</v>
      </c>
      <c r="F60">
        <f t="shared" si="4"/>
        <v>148.45549180987899</v>
      </c>
      <c r="G60">
        <f t="shared" si="4"/>
        <v>0.83128728193778301</v>
      </c>
      <c r="H60" s="3">
        <f t="shared" si="5"/>
        <v>1.310722944123824</v>
      </c>
      <c r="I60">
        <f t="shared" si="6"/>
        <v>154.431881155875</v>
      </c>
      <c r="J60">
        <f t="shared" si="6"/>
        <v>1.07964665811405</v>
      </c>
      <c r="K60" s="3">
        <f t="shared" si="7"/>
        <v>1.0223320934067135</v>
      </c>
      <c r="L60">
        <f t="shared" si="8"/>
        <v>150.01033780833501</v>
      </c>
      <c r="M60">
        <f t="shared" si="8"/>
        <v>0.68839109862678904</v>
      </c>
      <c r="N60" s="3">
        <f t="shared" si="9"/>
        <v>1</v>
      </c>
      <c r="O60">
        <f t="shared" si="10"/>
        <v>145.728579188802</v>
      </c>
      <c r="P60">
        <f t="shared" si="10"/>
        <v>0.67604124005956101</v>
      </c>
    </row>
    <row r="61" spans="1:18" x14ac:dyDescent="0.2">
      <c r="A61">
        <v>782</v>
      </c>
      <c r="B61" s="3">
        <f t="shared" si="11"/>
        <v>1.1972649104446151</v>
      </c>
      <c r="C61">
        <f t="shared" si="2"/>
        <v>130.248570442199</v>
      </c>
      <c r="D61">
        <f t="shared" si="2"/>
        <v>0.87601977888702798</v>
      </c>
      <c r="E61" s="3">
        <f t="shared" si="3"/>
        <v>1.0974046990397517</v>
      </c>
      <c r="F61">
        <f t="shared" si="4"/>
        <v>117.390931991899</v>
      </c>
      <c r="G61">
        <f t="shared" si="4"/>
        <v>0.705667132586836</v>
      </c>
      <c r="H61" s="3">
        <f t="shared" si="5"/>
        <v>1.1824967159869</v>
      </c>
      <c r="I61">
        <f t="shared" si="6"/>
        <v>120.090382561857</v>
      </c>
      <c r="J61">
        <f t="shared" si="6"/>
        <v>0.81435265332151696</v>
      </c>
      <c r="K61" s="3">
        <f t="shared" si="7"/>
        <v>1.0108226320819262</v>
      </c>
      <c r="L61">
        <f t="shared" si="8"/>
        <v>111.728700799123</v>
      </c>
      <c r="M61">
        <f t="shared" si="8"/>
        <v>0.67881925814853195</v>
      </c>
      <c r="N61" s="3">
        <f t="shared" si="9"/>
        <v>1</v>
      </c>
      <c r="O61">
        <f t="shared" si="10"/>
        <v>117.36505007222399</v>
      </c>
      <c r="P61">
        <f t="shared" si="10"/>
        <v>0.67726752779907695</v>
      </c>
    </row>
    <row r="62" spans="1:18" x14ac:dyDescent="0.2">
      <c r="A62">
        <v>792</v>
      </c>
      <c r="B62" s="3">
        <f t="shared" si="11"/>
        <v>1.1181942406487564</v>
      </c>
      <c r="C62">
        <f t="shared" si="2"/>
        <v>96.820664405822697</v>
      </c>
      <c r="D62">
        <f t="shared" si="2"/>
        <v>0.83875997197303398</v>
      </c>
      <c r="E62" s="3">
        <f t="shared" si="3"/>
        <v>1.0266091098102428</v>
      </c>
      <c r="F62">
        <f t="shared" si="4"/>
        <v>95.898137138436098</v>
      </c>
      <c r="G62">
        <f t="shared" si="4"/>
        <v>0.84458714262376</v>
      </c>
      <c r="H62" s="3">
        <f t="shared" si="5"/>
        <v>1.0398565792012409</v>
      </c>
      <c r="I62">
        <f t="shared" si="6"/>
        <v>98.332027073610206</v>
      </c>
      <c r="J62">
        <f t="shared" si="6"/>
        <v>0.82335780850036799</v>
      </c>
      <c r="K62" s="3">
        <f t="shared" si="7"/>
        <v>1</v>
      </c>
      <c r="L62">
        <f t="shared" si="8"/>
        <v>99.498650911271199</v>
      </c>
      <c r="M62">
        <f t="shared" si="8"/>
        <v>0.80840713261735297</v>
      </c>
      <c r="N62" s="3">
        <f t="shared" si="9"/>
        <v>1.0209341330546411</v>
      </c>
      <c r="O62">
        <f t="shared" si="10"/>
        <v>93.8315158549091</v>
      </c>
      <c r="P62">
        <f t="shared" si="10"/>
        <v>0.84191597944546803</v>
      </c>
    </row>
    <row r="63" spans="1:18" x14ac:dyDescent="0.2">
      <c r="A63">
        <v>804</v>
      </c>
      <c r="B63" s="3">
        <f t="shared" si="11"/>
        <v>1.3570382502864342</v>
      </c>
      <c r="C63">
        <f t="shared" si="2"/>
        <v>143.35021972656199</v>
      </c>
      <c r="D63">
        <f t="shared" si="2"/>
        <v>0.78484598890388901</v>
      </c>
      <c r="E63" s="3">
        <f t="shared" si="3"/>
        <v>1.259735153616911</v>
      </c>
      <c r="F63">
        <f t="shared" si="4"/>
        <v>121.618919795236</v>
      </c>
      <c r="G63">
        <f t="shared" si="4"/>
        <v>0.80897774369873499</v>
      </c>
      <c r="H63" s="3">
        <f t="shared" si="5"/>
        <v>1.0052167960462461</v>
      </c>
      <c r="I63">
        <f t="shared" si="6"/>
        <v>129.29261014604899</v>
      </c>
      <c r="J63">
        <f t="shared" si="6"/>
        <v>0.63572780391582295</v>
      </c>
      <c r="K63" s="3">
        <f t="shared" si="7"/>
        <v>1.5124421757510942</v>
      </c>
      <c r="L63">
        <f t="shared" si="8"/>
        <v>131.85095444223799</v>
      </c>
      <c r="M63">
        <f t="shared" si="8"/>
        <v>0.91566371570687499</v>
      </c>
      <c r="N63" s="3">
        <f t="shared" si="9"/>
        <v>1</v>
      </c>
      <c r="O63">
        <f t="shared" si="10"/>
        <v>128.944763734265</v>
      </c>
      <c r="P63">
        <f t="shared" si="10"/>
        <v>0.57849681307863099</v>
      </c>
    </row>
    <row r="64" spans="1:18" x14ac:dyDescent="0.2">
      <c r="A64">
        <v>812</v>
      </c>
      <c r="B64" s="3">
        <f t="shared" si="11"/>
        <v>1.1047223137079669</v>
      </c>
      <c r="C64">
        <f t="shared" si="2"/>
        <v>97.155702114105196</v>
      </c>
      <c r="D64">
        <f t="shared" si="2"/>
        <v>2.0579820084032399</v>
      </c>
      <c r="E64" s="3">
        <f t="shared" si="3"/>
        <v>1.0807655897148321</v>
      </c>
      <c r="F64">
        <f t="shared" si="4"/>
        <v>87.441142348662893</v>
      </c>
      <c r="G64">
        <f t="shared" si="4"/>
        <v>1.9372161433797701</v>
      </c>
      <c r="H64" s="3">
        <f t="shared" si="5"/>
        <v>1</v>
      </c>
      <c r="I64">
        <f t="shared" si="6"/>
        <v>85.605076273627603</v>
      </c>
      <c r="J64">
        <f t="shared" si="6"/>
        <v>1.77743888020033</v>
      </c>
      <c r="K64" s="3">
        <f t="shared" si="7"/>
        <v>1.0774624450417207</v>
      </c>
      <c r="L64">
        <f t="shared" si="8"/>
        <v>96.064458214078897</v>
      </c>
      <c r="M64">
        <f t="shared" si="8"/>
        <v>2.3638414132434198</v>
      </c>
      <c r="N64" s="3">
        <f t="shared" si="9"/>
        <v>1.0499071334654377</v>
      </c>
      <c r="O64">
        <f t="shared" si="10"/>
        <v>87.483372426428005</v>
      </c>
      <c r="P64">
        <f t="shared" si="10"/>
        <v>1.90834850434185</v>
      </c>
    </row>
    <row r="65" spans="1:16" x14ac:dyDescent="0.2">
      <c r="A65">
        <v>816</v>
      </c>
      <c r="B65" s="3">
        <f t="shared" si="11"/>
        <v>2.519386060612562</v>
      </c>
      <c r="C65">
        <f t="shared" si="2"/>
        <v>171.327495574951</v>
      </c>
      <c r="D65">
        <f t="shared" si="2"/>
        <v>0.956867255596766</v>
      </c>
      <c r="E65" s="3">
        <f t="shared" si="3"/>
        <v>1</v>
      </c>
      <c r="F65">
        <f t="shared" si="4"/>
        <v>163.98991841072501</v>
      </c>
      <c r="G65">
        <f t="shared" si="4"/>
        <v>0.36798252511766899</v>
      </c>
      <c r="H65" s="3">
        <f t="shared" si="5"/>
        <v>1.5962633450830999</v>
      </c>
      <c r="I65">
        <f t="shared" si="6"/>
        <v>184.52302624585101</v>
      </c>
      <c r="J65">
        <f t="shared" si="6"/>
        <v>0.65513230316059401</v>
      </c>
      <c r="K65" s="3">
        <f t="shared" si="7"/>
        <v>1.1691863733190204</v>
      </c>
      <c r="L65">
        <f t="shared" si="8"/>
        <v>172.46719377455699</v>
      </c>
      <c r="M65">
        <f t="shared" si="8"/>
        <v>0.50852736891804096</v>
      </c>
      <c r="N65" s="3">
        <f t="shared" si="9"/>
        <v>1.121156130571566</v>
      </c>
      <c r="O65">
        <f t="shared" si="10"/>
        <v>170.39661476497201</v>
      </c>
      <c r="P65">
        <f t="shared" si="10"/>
        <v>0.49080573367035502</v>
      </c>
    </row>
    <row r="66" spans="1:16" x14ac:dyDescent="0.2">
      <c r="A66">
        <v>822</v>
      </c>
      <c r="B66" s="3">
        <f t="shared" si="11"/>
        <v>1</v>
      </c>
      <c r="C66">
        <f t="shared" si="2"/>
        <v>133.671450614929</v>
      </c>
      <c r="D66">
        <f t="shared" si="2"/>
        <v>0.59700541212054503</v>
      </c>
      <c r="E66" s="3">
        <f t="shared" si="3"/>
        <v>1.3554565953721087</v>
      </c>
      <c r="F66">
        <f t="shared" si="4"/>
        <v>117.853039235164</v>
      </c>
      <c r="G66">
        <f t="shared" si="4"/>
        <v>0.73394217883056201</v>
      </c>
      <c r="H66" s="3">
        <f t="shared" si="5"/>
        <v>1.1150036627291542</v>
      </c>
      <c r="I66">
        <f t="shared" si="6"/>
        <v>114.03584174013901</v>
      </c>
      <c r="J66">
        <f t="shared" si="6"/>
        <v>0.66139169052554003</v>
      </c>
      <c r="K66" s="3">
        <f t="shared" si="7"/>
        <v>1.4970581159172074</v>
      </c>
      <c r="L66">
        <f t="shared" si="8"/>
        <v>111.80473875285401</v>
      </c>
      <c r="M66">
        <f t="shared" si="8"/>
        <v>0.95743018747008402</v>
      </c>
      <c r="N66" s="3">
        <f t="shared" si="9"/>
        <v>1.1999507868703856</v>
      </c>
      <c r="O66">
        <f t="shared" si="10"/>
        <v>115.923615359549</v>
      </c>
      <c r="P66">
        <f t="shared" si="10"/>
        <v>0.51548054756623096</v>
      </c>
    </row>
    <row r="67" spans="1:16" x14ac:dyDescent="0.2">
      <c r="A67">
        <v>827</v>
      </c>
      <c r="B67" s="3">
        <f t="shared" si="11"/>
        <v>1</v>
      </c>
      <c r="C67">
        <f t="shared" si="2"/>
        <v>100.96342563629101</v>
      </c>
      <c r="D67">
        <f t="shared" si="2"/>
        <v>1.1047592634861201</v>
      </c>
      <c r="E67" s="3">
        <f t="shared" si="3"/>
        <v>1.2027275876003352</v>
      </c>
      <c r="F67">
        <f t="shared" si="4"/>
        <v>103.70931982881601</v>
      </c>
      <c r="G67">
        <f t="shared" si="4"/>
        <v>1.34332111269333</v>
      </c>
      <c r="H67" s="3">
        <f t="shared" si="5"/>
        <v>1.0991348186267866</v>
      </c>
      <c r="I67">
        <f t="shared" si="6"/>
        <v>99.569079200025399</v>
      </c>
      <c r="J67">
        <f t="shared" si="6"/>
        <v>1.16139475394225</v>
      </c>
      <c r="K67" s="3">
        <f t="shared" si="7"/>
        <v>1.4215919062844691</v>
      </c>
      <c r="L67">
        <f t="shared" si="8"/>
        <v>136.38201094194099</v>
      </c>
      <c r="M67">
        <f t="shared" si="8"/>
        <v>1.6156959802381099</v>
      </c>
      <c r="N67" s="3">
        <f t="shared" si="9"/>
        <v>1.0917673544966955</v>
      </c>
      <c r="O67">
        <f t="shared" si="10"/>
        <v>100.946680195306</v>
      </c>
      <c r="P67">
        <f t="shared" si="10"/>
        <v>1.1129114492518899</v>
      </c>
    </row>
    <row r="68" spans="1:16" x14ac:dyDescent="0.2">
      <c r="A68">
        <v>838</v>
      </c>
      <c r="B68" s="3">
        <f t="shared" si="11"/>
        <v>1.5625155625393063</v>
      </c>
      <c r="C68">
        <f t="shared" si="2"/>
        <v>100.020051002502</v>
      </c>
      <c r="D68">
        <f t="shared" si="2"/>
        <v>1.1305068781685399</v>
      </c>
      <c r="E68" s="3">
        <f t="shared" si="3"/>
        <v>1.2337379794418113</v>
      </c>
      <c r="F68">
        <f t="shared" si="4"/>
        <v>96.573023574976304</v>
      </c>
      <c r="G68">
        <f t="shared" si="4"/>
        <v>1.0686986186384599</v>
      </c>
      <c r="H68" s="3">
        <f t="shared" si="5"/>
        <v>1</v>
      </c>
      <c r="I68">
        <f t="shared" si="6"/>
        <v>87.687078909026596</v>
      </c>
      <c r="J68">
        <f t="shared" si="6"/>
        <v>0.86380696904897403</v>
      </c>
      <c r="K68" s="3">
        <f t="shared" si="7"/>
        <v>1.4538806241748823</v>
      </c>
      <c r="L68">
        <f t="shared" si="8"/>
        <v>93.850233438971898</v>
      </c>
      <c r="M68">
        <f t="shared" si="8"/>
        <v>1.21829748114809</v>
      </c>
      <c r="N68" s="3">
        <f t="shared" si="9"/>
        <v>1.1809135674152693</v>
      </c>
      <c r="O68">
        <f t="shared" si="10"/>
        <v>92.398974375167299</v>
      </c>
      <c r="P68">
        <f t="shared" si="10"/>
        <v>1.0187000737929699</v>
      </c>
    </row>
    <row r="69" spans="1:16" x14ac:dyDescent="0.2">
      <c r="A69">
        <v>876</v>
      </c>
      <c r="B69" s="3">
        <f t="shared" si="11"/>
        <v>10.663798240351287</v>
      </c>
      <c r="C69">
        <f t="shared" si="2"/>
        <v>200</v>
      </c>
      <c r="D69">
        <f t="shared" si="2"/>
        <v>1.16678546310506</v>
      </c>
      <c r="E69" s="3">
        <f t="shared" si="3"/>
        <v>3.4238502584841268</v>
      </c>
      <c r="F69">
        <f t="shared" si="4"/>
        <v>200</v>
      </c>
      <c r="G69">
        <f t="shared" si="4"/>
        <v>0.37462249153620603</v>
      </c>
      <c r="H69" s="3">
        <f t="shared" si="5"/>
        <v>4.9621928078021744</v>
      </c>
      <c r="I69">
        <f t="shared" si="6"/>
        <v>200</v>
      </c>
      <c r="J69">
        <f t="shared" si="6"/>
        <v>0.54294110220956804</v>
      </c>
      <c r="K69" s="3">
        <f t="shared" si="7"/>
        <v>5.4916580878866998</v>
      </c>
      <c r="L69">
        <f t="shared" si="8"/>
        <v>200</v>
      </c>
      <c r="M69">
        <f t="shared" si="8"/>
        <v>0.60087284204418301</v>
      </c>
      <c r="N69" s="3">
        <f t="shared" si="9"/>
        <v>1</v>
      </c>
      <c r="O69">
        <f t="shared" si="10"/>
        <v>200</v>
      </c>
      <c r="P69">
        <f t="shared" si="10"/>
        <v>0.10941555945909399</v>
      </c>
    </row>
    <row r="70" spans="1:16" x14ac:dyDescent="0.2">
      <c r="A70">
        <v>877</v>
      </c>
      <c r="B70" s="3">
        <f t="shared" si="11"/>
        <v>1.1492155063717697</v>
      </c>
      <c r="C70">
        <f t="shared" si="2"/>
        <v>176.42469406127901</v>
      </c>
      <c r="D70">
        <f t="shared" si="2"/>
        <v>0.68709898519582402</v>
      </c>
      <c r="E70" s="3">
        <f t="shared" si="3"/>
        <v>1.0606801268311796</v>
      </c>
      <c r="F70">
        <f t="shared" si="4"/>
        <v>166.113674015681</v>
      </c>
      <c r="G70">
        <f t="shared" si="4"/>
        <v>0.497582408090738</v>
      </c>
      <c r="H70" s="3">
        <f t="shared" si="5"/>
        <v>1.1122941364700956</v>
      </c>
      <c r="I70">
        <f t="shared" si="6"/>
        <v>173.43019682744401</v>
      </c>
      <c r="J70">
        <f t="shared" si="6"/>
        <v>0.64533845745024299</v>
      </c>
      <c r="K70" s="3">
        <f t="shared" si="7"/>
        <v>1.0131355979681631</v>
      </c>
      <c r="L70">
        <f t="shared" si="8"/>
        <v>171.46588555132499</v>
      </c>
      <c r="M70">
        <f t="shared" si="8"/>
        <v>0.66649738450007201</v>
      </c>
      <c r="N70" s="3">
        <f t="shared" si="9"/>
        <v>1</v>
      </c>
      <c r="O70">
        <f t="shared" si="10"/>
        <v>166.46301417174001</v>
      </c>
      <c r="P70">
        <f t="shared" si="10"/>
        <v>0.50215583827819399</v>
      </c>
    </row>
    <row r="71" spans="1:16" x14ac:dyDescent="0.2">
      <c r="A71">
        <v>888</v>
      </c>
      <c r="B71" s="3">
        <f t="shared" si="11"/>
        <v>1.5424361476353352</v>
      </c>
      <c r="C71">
        <f t="shared" si="2"/>
        <v>123.29883575439401</v>
      </c>
      <c r="D71">
        <f t="shared" si="2"/>
        <v>0.80811952773296603</v>
      </c>
      <c r="E71" s="3">
        <f t="shared" si="3"/>
        <v>1.0155052062454595</v>
      </c>
      <c r="F71">
        <f t="shared" si="4"/>
        <v>96.403316844402696</v>
      </c>
      <c r="G71">
        <f t="shared" si="4"/>
        <v>0.54947203951392798</v>
      </c>
      <c r="H71" s="3">
        <f t="shared" si="5"/>
        <v>1</v>
      </c>
      <c r="I71">
        <f t="shared" si="6"/>
        <v>86.058716259085898</v>
      </c>
      <c r="J71">
        <f t="shared" si="6"/>
        <v>0.54346871461221902</v>
      </c>
      <c r="K71" s="3">
        <f t="shared" si="7"/>
        <v>1.035150878622819</v>
      </c>
      <c r="L71">
        <f t="shared" si="8"/>
        <v>99.863549076472495</v>
      </c>
      <c r="M71">
        <f t="shared" si="8"/>
        <v>0.61002691860618397</v>
      </c>
      <c r="N71" s="3">
        <f t="shared" si="9"/>
        <v>1.0104395614758901</v>
      </c>
      <c r="O71">
        <f t="shared" si="10"/>
        <v>93.851713928963505</v>
      </c>
      <c r="P71">
        <f t="shared" si="10"/>
        <v>0.44198972474973702</v>
      </c>
    </row>
    <row r="72" spans="1:16" x14ac:dyDescent="0.2">
      <c r="A72">
        <v>890</v>
      </c>
      <c r="B72" s="3">
        <f t="shared" si="11"/>
        <v>1.9536552125013029</v>
      </c>
      <c r="C72">
        <f t="shared" si="2"/>
        <v>77.3298561573028</v>
      </c>
      <c r="D72">
        <f t="shared" si="2"/>
        <v>0.94046080959051603</v>
      </c>
      <c r="E72" s="3">
        <f t="shared" si="3"/>
        <v>1.165475018491763</v>
      </c>
      <c r="F72">
        <f t="shared" si="4"/>
        <v>62.753118508957797</v>
      </c>
      <c r="G72">
        <f t="shared" si="4"/>
        <v>0.48869321768125001</v>
      </c>
      <c r="H72" s="3">
        <f t="shared" si="5"/>
        <v>1</v>
      </c>
      <c r="I72">
        <f t="shared" si="6"/>
        <v>51.0072679043083</v>
      </c>
      <c r="J72">
        <f t="shared" si="6"/>
        <v>0.470805160872595</v>
      </c>
      <c r="K72" s="3">
        <f t="shared" si="7"/>
        <v>1.5053742181537921</v>
      </c>
      <c r="L72">
        <f t="shared" si="8"/>
        <v>74.154463725118802</v>
      </c>
      <c r="M72">
        <f t="shared" si="8"/>
        <v>0.64908239111870403</v>
      </c>
      <c r="N72" s="3">
        <f t="shared" si="9"/>
        <v>1.2470667986951038</v>
      </c>
      <c r="O72">
        <f t="shared" si="10"/>
        <v>60.159830580430601</v>
      </c>
      <c r="P72">
        <f t="shared" si="10"/>
        <v>0.52416012289686897</v>
      </c>
    </row>
    <row r="73" spans="1:16" ht="85" x14ac:dyDescent="0.2">
      <c r="A73" s="2" t="s">
        <v>81</v>
      </c>
      <c r="B73" s="3">
        <f>AVERAGE(B41:B72)</f>
        <v>1.9877757162554817</v>
      </c>
      <c r="C73" s="10">
        <f t="shared" ref="C73" si="12">AVERAGE(C41:C72)</f>
        <v>132.04228617250874</v>
      </c>
      <c r="D73" s="10">
        <f t="shared" ref="D73" si="13">AVERAGE(D41:D72)</f>
        <v>0.95763258735861023</v>
      </c>
      <c r="E73" s="3">
        <f t="shared" ref="E73" si="14">AVERAGE(E41:E72)</f>
        <v>1.1752747859998307</v>
      </c>
      <c r="F73" s="10">
        <f t="shared" ref="F73" si="15">AVERAGE(F41:F72)</f>
        <v>122.5762731622614</v>
      </c>
      <c r="G73" s="10">
        <f t="shared" ref="G73" si="16">AVERAGE(G41:G72)</f>
        <v>0.73957392432502678</v>
      </c>
      <c r="H73" s="3">
        <f t="shared" ref="H73" si="17">AVERAGE(H41:H72)</f>
        <v>1.2924429776641866</v>
      </c>
      <c r="I73" s="10">
        <f t="shared" ref="I73" si="18">AVERAGE(I41:I72)</f>
        <v>122.09181447165355</v>
      </c>
      <c r="J73" s="10">
        <f t="shared" ref="J73" si="19">AVERAGE(J41:J72)</f>
        <v>0.75132984816463066</v>
      </c>
      <c r="K73" s="3">
        <f t="shared" ref="K73" si="20">AVERAGE(K41:K72)</f>
        <v>1.3738180231182275</v>
      </c>
      <c r="L73" s="10">
        <f t="shared" ref="L73" si="21">AVERAGE(L41:L72)</f>
        <v>126.28530225947432</v>
      </c>
      <c r="M73" s="10">
        <f t="shared" ref="M73" si="22">AVERAGE(M41:M72)</f>
        <v>0.85941434501774006</v>
      </c>
      <c r="N73" s="3">
        <f t="shared" ref="N73" si="23">AVERAGE(N41:N72)</f>
        <v>1.0954465571004053</v>
      </c>
      <c r="O73" s="10">
        <f t="shared" ref="O73" si="24">AVERAGE(O41:O72)</f>
        <v>123.47736328777874</v>
      </c>
      <c r="P73" s="10">
        <f t="shared" ref="P73" si="25">AVERAGE(P41:P72)</f>
        <v>0.68564752906696691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A1A82-43B3-6E44-9518-F1C33779A77C}">
  <dimension ref="A1:R71"/>
  <sheetViews>
    <sheetView workbookViewId="0">
      <selection activeCell="B36" sqref="B36"/>
    </sheetView>
  </sheetViews>
  <sheetFormatPr baseColWidth="10" defaultRowHeight="16" x14ac:dyDescent="0.2"/>
  <cols>
    <col min="1" max="1" width="15.5" customWidth="1"/>
    <col min="2" max="2" width="13.6640625" style="3" customWidth="1"/>
    <col min="3" max="4" width="12.1640625" bestFit="1" customWidth="1"/>
    <col min="5" max="5" width="12.1640625" style="3" bestFit="1" customWidth="1"/>
    <col min="6" max="7" width="12.1640625" bestFit="1" customWidth="1"/>
    <col min="8" max="8" width="12.1640625" style="3" bestFit="1" customWidth="1"/>
    <col min="9" max="10" width="12.1640625" bestFit="1" customWidth="1"/>
    <col min="11" max="11" width="12.1640625" style="3" bestFit="1" customWidth="1"/>
    <col min="12" max="12" width="13.5" customWidth="1"/>
    <col min="13" max="13" width="12.1640625" bestFit="1" customWidth="1"/>
    <col min="14" max="14" width="12.1640625" style="3" bestFit="1" customWidth="1"/>
    <col min="15" max="16" width="12.1640625" bestFit="1" customWidth="1"/>
    <col min="18" max="18" width="32.6640625" customWidth="1"/>
  </cols>
  <sheetData>
    <row r="1" spans="1:18" s="1" customFormat="1" ht="37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R1" s="1" t="s">
        <v>16</v>
      </c>
    </row>
    <row r="2" spans="1:18" x14ac:dyDescent="0.2">
      <c r="A2">
        <v>47</v>
      </c>
      <c r="B2" s="3">
        <v>8608.6533209323698</v>
      </c>
      <c r="C2">
        <v>131.17012977600001</v>
      </c>
      <c r="D2">
        <v>0.64754821560904197</v>
      </c>
      <c r="E2" s="3">
        <v>6393.2710294306698</v>
      </c>
      <c r="F2">
        <v>124.46870657701101</v>
      </c>
      <c r="G2">
        <v>0.59550928053681895</v>
      </c>
      <c r="H2" s="3">
        <v>6062.1913790183798</v>
      </c>
      <c r="I2">
        <v>131.62993145287501</v>
      </c>
      <c r="J2">
        <v>0.60739818762967701</v>
      </c>
      <c r="K2" s="3">
        <v>6227.25565134096</v>
      </c>
      <c r="L2">
        <v>123.58661916297299</v>
      </c>
      <c r="M2">
        <v>0.60245200927611797</v>
      </c>
      <c r="N2" s="3">
        <v>6456.2175547342204</v>
      </c>
      <c r="O2">
        <v>126.76147089561999</v>
      </c>
      <c r="P2">
        <v>0.59900756058140203</v>
      </c>
      <c r="R2" s="4" t="s">
        <v>42</v>
      </c>
    </row>
    <row r="3" spans="1:18" x14ac:dyDescent="0.2">
      <c r="A3">
        <v>65</v>
      </c>
      <c r="B3" s="3">
        <v>2367.5985723935501</v>
      </c>
      <c r="C3">
        <v>194.489502906799</v>
      </c>
      <c r="D3">
        <v>1.23122451612499</v>
      </c>
      <c r="E3" s="3">
        <v>1327.08243076128</v>
      </c>
      <c r="F3">
        <v>179.19803551747</v>
      </c>
      <c r="G3">
        <v>0.99346582017927998</v>
      </c>
      <c r="H3" s="3">
        <v>1240.49231913366</v>
      </c>
      <c r="I3">
        <v>170.87773881659101</v>
      </c>
      <c r="J3">
        <v>0.92350279942111102</v>
      </c>
      <c r="K3" s="3">
        <v>1336.0554658317601</v>
      </c>
      <c r="L3">
        <v>174.635227110008</v>
      </c>
      <c r="M3">
        <v>1.173553411586</v>
      </c>
      <c r="N3" s="3">
        <v>1294.45478629324</v>
      </c>
      <c r="O3">
        <v>180.715129138316</v>
      </c>
      <c r="P3">
        <v>0.85574160835949298</v>
      </c>
      <c r="R3" s="4" t="s">
        <v>43</v>
      </c>
    </row>
    <row r="4" spans="1:18" x14ac:dyDescent="0.2">
      <c r="A4">
        <v>98</v>
      </c>
      <c r="B4" s="3">
        <v>2735.45928501961</v>
      </c>
      <c r="C4">
        <v>197.495687007904</v>
      </c>
      <c r="D4">
        <v>0.79280629007177505</v>
      </c>
      <c r="E4" s="3">
        <v>1021.71897907121</v>
      </c>
      <c r="F4">
        <v>198.655282308875</v>
      </c>
      <c r="G4">
        <v>0.34840919764515299</v>
      </c>
      <c r="H4" s="3">
        <v>2128.1164109985298</v>
      </c>
      <c r="I4">
        <v>194.288904586353</v>
      </c>
      <c r="J4">
        <v>0.85206360093588795</v>
      </c>
      <c r="K4" s="3">
        <v>3308.9931107532898</v>
      </c>
      <c r="L4">
        <v>195.56809507870599</v>
      </c>
      <c r="M4">
        <v>1.3022590634183999</v>
      </c>
      <c r="N4" s="3">
        <v>1515.3618826849599</v>
      </c>
      <c r="O4">
        <v>194.52564921298901</v>
      </c>
      <c r="P4">
        <v>0.60095950578718704</v>
      </c>
      <c r="R4" s="4" t="s">
        <v>44</v>
      </c>
    </row>
    <row r="5" spans="1:18" x14ac:dyDescent="0.2">
      <c r="A5">
        <v>114</v>
      </c>
      <c r="B5" s="3">
        <v>55071.934921518703</v>
      </c>
      <c r="C5">
        <v>71.814417839050293</v>
      </c>
      <c r="D5">
        <v>0.75712929187857203</v>
      </c>
      <c r="E5" s="3">
        <v>51838.676431848799</v>
      </c>
      <c r="F5">
        <v>52.295170773032503</v>
      </c>
      <c r="G5">
        <v>0.6589834757659</v>
      </c>
      <c r="H5" s="3">
        <v>43712.048515759103</v>
      </c>
      <c r="I5">
        <v>49.0466732433947</v>
      </c>
      <c r="J5">
        <v>0.59838297957640996</v>
      </c>
      <c r="K5" s="3">
        <v>41046.650784966798</v>
      </c>
      <c r="L5">
        <v>47.625054535496098</v>
      </c>
      <c r="M5">
        <v>0.58030246013267095</v>
      </c>
      <c r="N5" s="3">
        <v>42957.652760397097</v>
      </c>
      <c r="O5">
        <v>45.8637648863115</v>
      </c>
      <c r="P5">
        <v>0.54522902687556096</v>
      </c>
      <c r="R5" s="4" t="s">
        <v>45</v>
      </c>
    </row>
    <row r="6" spans="1:18" x14ac:dyDescent="0.2">
      <c r="A6">
        <v>123</v>
      </c>
      <c r="B6" s="3">
        <v>12715.423075934201</v>
      </c>
      <c r="C6">
        <v>134.94251966476401</v>
      </c>
      <c r="D6">
        <v>1.28953560661434</v>
      </c>
      <c r="E6" s="3">
        <v>10174.113327250299</v>
      </c>
      <c r="F6">
        <v>121.95017267975</v>
      </c>
      <c r="G6">
        <v>0.99921980378140496</v>
      </c>
      <c r="H6" s="3">
        <v>10156.384511586401</v>
      </c>
      <c r="I6">
        <v>127.099444899757</v>
      </c>
      <c r="J6">
        <v>0.99838805934428998</v>
      </c>
      <c r="K6" s="3">
        <v>11100.359882921101</v>
      </c>
      <c r="L6">
        <v>125.57087417904199</v>
      </c>
      <c r="M6">
        <v>1.03322383332848</v>
      </c>
      <c r="N6" s="3">
        <v>11071.5404079246</v>
      </c>
      <c r="O6">
        <v>125.061835389495</v>
      </c>
      <c r="P6">
        <v>0.94414854181407304</v>
      </c>
      <c r="R6" s="4" t="s">
        <v>46</v>
      </c>
    </row>
    <row r="7" spans="1:18" x14ac:dyDescent="0.2">
      <c r="A7">
        <v>168</v>
      </c>
      <c r="B7" s="3">
        <v>2703.6093467807</v>
      </c>
      <c r="C7">
        <v>144.97840404510401</v>
      </c>
      <c r="D7">
        <v>0.96599894096501904</v>
      </c>
      <c r="E7" s="3">
        <v>3168.5763653876202</v>
      </c>
      <c r="F7">
        <v>139.36390958595899</v>
      </c>
      <c r="G7">
        <v>1.3221926509023001</v>
      </c>
      <c r="H7" s="3">
        <v>2650.2458855598002</v>
      </c>
      <c r="I7">
        <v>127.99550276482</v>
      </c>
      <c r="J7">
        <v>0.99898051257201803</v>
      </c>
      <c r="K7" s="3">
        <v>2760.1674217628702</v>
      </c>
      <c r="L7">
        <v>146.346522341172</v>
      </c>
      <c r="M7">
        <v>1.37423251825152</v>
      </c>
      <c r="N7" s="3">
        <v>2792.5596512025199</v>
      </c>
      <c r="O7">
        <v>129.906922795665</v>
      </c>
      <c r="P7">
        <v>0.97311432465910097</v>
      </c>
      <c r="R7" s="4" t="s">
        <v>47</v>
      </c>
    </row>
    <row r="8" spans="1:18" x14ac:dyDescent="0.2">
      <c r="A8">
        <v>172</v>
      </c>
      <c r="B8" s="3">
        <v>10716.1183270809</v>
      </c>
      <c r="C8">
        <v>133.656454086303</v>
      </c>
      <c r="D8">
        <v>0.69486120632965098</v>
      </c>
      <c r="E8" s="3">
        <v>9266.6779423716398</v>
      </c>
      <c r="F8">
        <v>122.744314063288</v>
      </c>
      <c r="G8">
        <v>0.78170999555890597</v>
      </c>
      <c r="H8" s="3">
        <v>8556.2495401260203</v>
      </c>
      <c r="I8">
        <v>124.116836368261</v>
      </c>
      <c r="J8">
        <v>0.71916300402851696</v>
      </c>
      <c r="K8" s="3">
        <v>11521.889962518</v>
      </c>
      <c r="L8">
        <v>134.52712278562001</v>
      </c>
      <c r="M8">
        <v>1.1610053333293699</v>
      </c>
      <c r="N8" s="3">
        <v>9406.2788478102393</v>
      </c>
      <c r="O8">
        <v>109.41160242200201</v>
      </c>
      <c r="P8">
        <v>0.55467650901841004</v>
      </c>
      <c r="R8" s="4" t="s">
        <v>48</v>
      </c>
    </row>
    <row r="9" spans="1:18" x14ac:dyDescent="0.2">
      <c r="A9">
        <v>185</v>
      </c>
      <c r="B9" s="3">
        <v>24465.9240577583</v>
      </c>
      <c r="C9">
        <v>95.809054374694796</v>
      </c>
      <c r="D9">
        <v>0.70439116829745996</v>
      </c>
      <c r="E9" s="3">
        <v>30448.066101414901</v>
      </c>
      <c r="F9">
        <v>97.700367494684201</v>
      </c>
      <c r="G9">
        <v>0.85835183006424198</v>
      </c>
      <c r="H9" s="3">
        <v>29202.250479750699</v>
      </c>
      <c r="I9">
        <v>97.991747410767402</v>
      </c>
      <c r="J9">
        <v>0.77096482350467899</v>
      </c>
      <c r="K9" s="3">
        <v>28256.2568323792</v>
      </c>
      <c r="L9">
        <v>95.848274813363702</v>
      </c>
      <c r="M9">
        <v>0.69847377105336195</v>
      </c>
      <c r="N9" s="3">
        <v>29259.8226738126</v>
      </c>
      <c r="O9">
        <v>97.479797160265704</v>
      </c>
      <c r="P9">
        <v>0.77787275522445298</v>
      </c>
      <c r="R9" s="4" t="s">
        <v>49</v>
      </c>
    </row>
    <row r="10" spans="1:18" x14ac:dyDescent="0.2">
      <c r="A10">
        <v>195</v>
      </c>
      <c r="B10" s="3">
        <v>71229.088889301405</v>
      </c>
      <c r="C10">
        <v>115.95885753631499</v>
      </c>
      <c r="D10">
        <v>0.79768820141864005</v>
      </c>
      <c r="E10" s="3">
        <v>53455.934241183102</v>
      </c>
      <c r="F10">
        <v>90.783409211563495</v>
      </c>
      <c r="G10">
        <v>0.52772235836524095</v>
      </c>
      <c r="H10" s="3">
        <v>52944.177581727999</v>
      </c>
      <c r="I10">
        <v>93.153237268484503</v>
      </c>
      <c r="J10">
        <v>0.56041587014916205</v>
      </c>
      <c r="K10" s="3">
        <v>65004.278161877803</v>
      </c>
      <c r="L10">
        <v>103.727770791624</v>
      </c>
      <c r="M10">
        <v>0.69917742182755904</v>
      </c>
      <c r="N10" s="3">
        <v>52821.474863790601</v>
      </c>
      <c r="O10">
        <v>81.4198061875462</v>
      </c>
      <c r="P10">
        <v>0.46462675298062101</v>
      </c>
      <c r="R10" s="4" t="s">
        <v>50</v>
      </c>
    </row>
    <row r="11" spans="1:18" x14ac:dyDescent="0.2">
      <c r="A11">
        <v>197</v>
      </c>
      <c r="B11" s="3">
        <v>12175.548611869601</v>
      </c>
      <c r="C11">
        <v>130.73250055313099</v>
      </c>
      <c r="D11">
        <v>0.69442365366937897</v>
      </c>
      <c r="E11" s="3">
        <v>12811.7953336884</v>
      </c>
      <c r="F11">
        <v>139.818165296465</v>
      </c>
      <c r="G11">
        <v>0.83446832872863996</v>
      </c>
      <c r="H11" s="3">
        <v>12249.734170006501</v>
      </c>
      <c r="I11">
        <v>141.97313482436701</v>
      </c>
      <c r="J11">
        <v>0.85900884756294504</v>
      </c>
      <c r="K11" s="3">
        <v>12198.8448063743</v>
      </c>
      <c r="L11">
        <v>139.86697620581199</v>
      </c>
      <c r="M11">
        <v>0.72394560530791396</v>
      </c>
      <c r="N11" s="3">
        <v>13852.670214506399</v>
      </c>
      <c r="O11">
        <v>148.831362397329</v>
      </c>
      <c r="P11">
        <v>0.67780563665932803</v>
      </c>
      <c r="R11" s="4" t="s">
        <v>51</v>
      </c>
    </row>
    <row r="12" spans="1:18" x14ac:dyDescent="0.2">
      <c r="A12">
        <v>237</v>
      </c>
      <c r="B12" s="3">
        <v>26915.396931867799</v>
      </c>
      <c r="C12">
        <v>130.29329776763899</v>
      </c>
      <c r="D12">
        <v>0.78776278617214801</v>
      </c>
      <c r="E12" s="3">
        <v>23288.611136801301</v>
      </c>
      <c r="F12">
        <v>125.235767098729</v>
      </c>
      <c r="G12">
        <v>0.54339941350544196</v>
      </c>
      <c r="H12" s="3">
        <v>21049.749760758299</v>
      </c>
      <c r="I12">
        <v>120.257009275283</v>
      </c>
      <c r="J12">
        <v>0.61263738346039998</v>
      </c>
      <c r="K12" s="3">
        <v>25613.6481516655</v>
      </c>
      <c r="L12">
        <v>115.400861052458</v>
      </c>
      <c r="M12">
        <v>0.66647929663866601</v>
      </c>
      <c r="N12" s="3">
        <v>21996.881505827299</v>
      </c>
      <c r="O12">
        <v>115.400607969552</v>
      </c>
      <c r="P12">
        <v>0.436851324798051</v>
      </c>
      <c r="R12" s="4" t="s">
        <v>52</v>
      </c>
    </row>
    <row r="13" spans="1:18" x14ac:dyDescent="0.2">
      <c r="A13">
        <v>272</v>
      </c>
      <c r="B13" s="3">
        <v>2499.5070514003301</v>
      </c>
      <c r="C13">
        <v>171.61689996719301</v>
      </c>
      <c r="D13">
        <v>1.3371130177747199</v>
      </c>
      <c r="E13" s="3">
        <v>1535.5831462210599</v>
      </c>
      <c r="F13">
        <v>145.14119736861201</v>
      </c>
      <c r="G13">
        <v>0.84864270259796903</v>
      </c>
      <c r="H13" s="3">
        <v>1500.1775761173001</v>
      </c>
      <c r="I13">
        <v>140.29284720013399</v>
      </c>
      <c r="J13">
        <v>0.72253168570134996</v>
      </c>
      <c r="K13" s="3">
        <v>1454.4960321168401</v>
      </c>
      <c r="L13">
        <v>153.23900081012201</v>
      </c>
      <c r="M13">
        <v>0.81625900805044505</v>
      </c>
      <c r="N13" s="3">
        <v>1538.8147939104699</v>
      </c>
      <c r="O13">
        <v>147.75059261094</v>
      </c>
      <c r="P13">
        <v>0.92669206682777305</v>
      </c>
      <c r="R13" s="4" t="s">
        <v>53</v>
      </c>
    </row>
    <row r="14" spans="1:18" x14ac:dyDescent="0.2">
      <c r="A14">
        <v>279</v>
      </c>
      <c r="B14" s="3">
        <v>53358.6590536156</v>
      </c>
      <c r="C14">
        <v>103.360271453857</v>
      </c>
      <c r="D14">
        <v>0.71885526539280997</v>
      </c>
      <c r="E14" s="3">
        <v>34499.568050340204</v>
      </c>
      <c r="F14">
        <v>91.364041413681093</v>
      </c>
      <c r="G14">
        <v>0.57707656543660402</v>
      </c>
      <c r="H14" s="3">
        <v>36753.657258990701</v>
      </c>
      <c r="I14">
        <v>101.999681551061</v>
      </c>
      <c r="J14">
        <v>0.61152428867659703</v>
      </c>
      <c r="K14" s="3">
        <v>50265.434883654103</v>
      </c>
      <c r="L14">
        <v>111.295453184907</v>
      </c>
      <c r="M14">
        <v>0.84488714662013997</v>
      </c>
      <c r="N14" s="3">
        <v>42896.790086814202</v>
      </c>
      <c r="O14">
        <v>92.970672150381006</v>
      </c>
      <c r="P14">
        <v>0.56071611760450402</v>
      </c>
      <c r="R14" s="4" t="s">
        <v>54</v>
      </c>
    </row>
    <row r="15" spans="1:18" x14ac:dyDescent="0.2">
      <c r="A15">
        <v>709</v>
      </c>
      <c r="B15" s="3">
        <v>1851.1217545045399</v>
      </c>
      <c r="C15">
        <v>129.69732284545799</v>
      </c>
      <c r="D15">
        <v>3.4923218815536401E-2</v>
      </c>
      <c r="E15" s="3">
        <v>857.36758722324896</v>
      </c>
      <c r="F15">
        <v>183.67090019803399</v>
      </c>
      <c r="G15">
        <v>1.2730766131148199E-2</v>
      </c>
      <c r="H15" s="3">
        <v>2199.8644561917899</v>
      </c>
      <c r="I15">
        <v>165.56261685451301</v>
      </c>
      <c r="J15">
        <v>4.7826415830247097E-2</v>
      </c>
      <c r="K15" s="3">
        <v>779.70049830156802</v>
      </c>
      <c r="L15">
        <v>134.217097635107</v>
      </c>
      <c r="M15">
        <v>1.18185474255223E-2</v>
      </c>
      <c r="N15" s="3">
        <v>800.72159788671399</v>
      </c>
      <c r="O15">
        <v>141.92301973046401</v>
      </c>
      <c r="P15">
        <v>1.4362701702125001E-2</v>
      </c>
      <c r="R15" s="4" t="s">
        <v>55</v>
      </c>
    </row>
    <row r="16" spans="1:18" x14ac:dyDescent="0.2">
      <c r="A16">
        <v>712</v>
      </c>
      <c r="B16" s="3">
        <v>3719.6312989327298</v>
      </c>
      <c r="C16">
        <v>147.589862346649</v>
      </c>
      <c r="D16">
        <v>0.84739235665421497</v>
      </c>
      <c r="E16" s="3">
        <v>2688.0459949615401</v>
      </c>
      <c r="F16">
        <v>129.52510133865599</v>
      </c>
      <c r="G16">
        <v>0.66111218449446796</v>
      </c>
      <c r="H16" s="3">
        <v>2556.20213114647</v>
      </c>
      <c r="I16">
        <v>128.268122645142</v>
      </c>
      <c r="J16">
        <v>0.66640911157994698</v>
      </c>
      <c r="K16" s="3">
        <v>3242.93103143401</v>
      </c>
      <c r="L16">
        <v>134.72320090260499</v>
      </c>
      <c r="M16">
        <v>0.95875593869829601</v>
      </c>
      <c r="N16" s="3">
        <v>3160.1325786642601</v>
      </c>
      <c r="O16">
        <v>169.243972270423</v>
      </c>
      <c r="P16">
        <v>0.63971838506748302</v>
      </c>
      <c r="R16" s="4" t="s">
        <v>56</v>
      </c>
    </row>
    <row r="17" spans="1:18" x14ac:dyDescent="0.2">
      <c r="A17">
        <v>714</v>
      </c>
      <c r="B17" s="3">
        <v>2239.3063658195501</v>
      </c>
      <c r="C17">
        <v>167.465388774871</v>
      </c>
      <c r="D17">
        <v>0.73308112349751997</v>
      </c>
      <c r="E17" s="3">
        <v>518.87545650241896</v>
      </c>
      <c r="F17">
        <v>115.85790890621099</v>
      </c>
      <c r="G17">
        <v>0.27313364596908402</v>
      </c>
      <c r="H17" s="3">
        <v>976.93255290901902</v>
      </c>
      <c r="I17">
        <v>147.790457747408</v>
      </c>
      <c r="J17">
        <v>0.53249301066766996</v>
      </c>
      <c r="K17" s="3">
        <v>615.63464930822295</v>
      </c>
      <c r="L17">
        <v>166.52448194172601</v>
      </c>
      <c r="M17">
        <v>0.26778470666002002</v>
      </c>
      <c r="N17" s="3">
        <v>580.88155511130503</v>
      </c>
      <c r="O17">
        <v>158.142225705133</v>
      </c>
      <c r="P17">
        <v>0.29305469656847899</v>
      </c>
      <c r="R17" s="4" t="s">
        <v>57</v>
      </c>
    </row>
    <row r="18" spans="1:18" x14ac:dyDescent="0.2">
      <c r="A18">
        <v>722</v>
      </c>
      <c r="B18" s="3">
        <v>273616.20536803</v>
      </c>
      <c r="C18">
        <v>116.446280479431</v>
      </c>
      <c r="D18">
        <v>0.94107153472242699</v>
      </c>
      <c r="E18" s="3">
        <v>216823.902362956</v>
      </c>
      <c r="F18">
        <v>119.58094322038301</v>
      </c>
      <c r="G18">
        <v>0.83321798769566302</v>
      </c>
      <c r="H18" s="3">
        <v>185875.631039448</v>
      </c>
      <c r="I18">
        <v>105.6496447719</v>
      </c>
      <c r="J18">
        <v>0.65124829178011201</v>
      </c>
      <c r="K18" s="3">
        <v>192552.21096174399</v>
      </c>
      <c r="L18">
        <v>113.954672421723</v>
      </c>
      <c r="M18">
        <v>0.71954789103941297</v>
      </c>
      <c r="N18" s="3">
        <v>205378.68455354101</v>
      </c>
      <c r="O18">
        <v>119.05677783098</v>
      </c>
      <c r="P18">
        <v>0.80713336423583704</v>
      </c>
      <c r="R18" s="4" t="s">
        <v>58</v>
      </c>
    </row>
    <row r="19" spans="1:18" x14ac:dyDescent="0.2">
      <c r="A19">
        <v>724</v>
      </c>
      <c r="B19" s="3">
        <v>6527.5863839554004</v>
      </c>
      <c r="C19">
        <v>80.6029438972473</v>
      </c>
      <c r="D19">
        <v>1.0561631423298901</v>
      </c>
      <c r="E19" s="3">
        <v>4993.8136231646404</v>
      </c>
      <c r="F19">
        <v>62.0953075805023</v>
      </c>
      <c r="G19">
        <v>0.76970395255276502</v>
      </c>
      <c r="H19" s="3">
        <v>4546.8443003073999</v>
      </c>
      <c r="I19">
        <v>58.451438548924003</v>
      </c>
      <c r="J19">
        <v>0.69200543052131702</v>
      </c>
      <c r="K19" s="3">
        <v>5354.1011204681599</v>
      </c>
      <c r="L19">
        <v>72.467825277977795</v>
      </c>
      <c r="M19">
        <v>0.92137680640563402</v>
      </c>
      <c r="N19" s="3">
        <v>5246.2756094040897</v>
      </c>
      <c r="O19">
        <v>62.707921409997297</v>
      </c>
      <c r="P19">
        <v>0.69902044786152295</v>
      </c>
      <c r="R19" s="4" t="s">
        <v>59</v>
      </c>
    </row>
    <row r="20" spans="1:18" x14ac:dyDescent="0.2">
      <c r="A20">
        <v>749</v>
      </c>
      <c r="B20" s="3">
        <v>51146.707264495497</v>
      </c>
      <c r="C20">
        <v>140.90198278427101</v>
      </c>
      <c r="D20">
        <v>1.89175459946286</v>
      </c>
      <c r="E20" s="3">
        <v>19024.317029594898</v>
      </c>
      <c r="F20">
        <v>104.79200705662301</v>
      </c>
      <c r="G20">
        <v>0.67526558216079302</v>
      </c>
      <c r="H20" s="3">
        <v>20010.437178113902</v>
      </c>
      <c r="I20">
        <v>113.27176145199</v>
      </c>
      <c r="J20">
        <v>0.76715855329846805</v>
      </c>
      <c r="K20" s="3">
        <v>23882.402590482699</v>
      </c>
      <c r="L20">
        <v>123.032896940458</v>
      </c>
      <c r="M20">
        <v>1.01840352062766</v>
      </c>
      <c r="N20" s="3">
        <v>32423.232411221099</v>
      </c>
      <c r="O20">
        <v>121.916770477021</v>
      </c>
      <c r="P20">
        <v>1.1718700535266799</v>
      </c>
      <c r="R20" s="4" t="s">
        <v>60</v>
      </c>
    </row>
    <row r="21" spans="1:18" x14ac:dyDescent="0.2">
      <c r="A21">
        <v>777</v>
      </c>
      <c r="B21" s="3">
        <v>4228.3736826349596</v>
      </c>
      <c r="C21">
        <v>164.55142498016301</v>
      </c>
      <c r="D21">
        <v>1.0056910389887399</v>
      </c>
      <c r="E21" s="3">
        <v>2559.7417961342899</v>
      </c>
      <c r="F21">
        <v>148.45549180987899</v>
      </c>
      <c r="G21">
        <v>0.83128728193778301</v>
      </c>
      <c r="H21" s="3">
        <v>3164.3677208324102</v>
      </c>
      <c r="I21">
        <v>155.227782655738</v>
      </c>
      <c r="J21">
        <v>1.0408598118705099</v>
      </c>
      <c r="K21" s="3">
        <v>2575.6049348766601</v>
      </c>
      <c r="L21">
        <v>152.202948788773</v>
      </c>
      <c r="M21">
        <v>0.77477478109487896</v>
      </c>
      <c r="N21" s="3">
        <v>2691.0924911491302</v>
      </c>
      <c r="O21">
        <v>164.548375249982</v>
      </c>
      <c r="P21">
        <v>0.53502886685815698</v>
      </c>
      <c r="R21" s="4" t="s">
        <v>61</v>
      </c>
    </row>
    <row r="22" spans="1:18" x14ac:dyDescent="0.2">
      <c r="A22">
        <v>782</v>
      </c>
      <c r="B22" s="3">
        <v>27607.902636745101</v>
      </c>
      <c r="C22">
        <v>138.35564851760799</v>
      </c>
      <c r="D22">
        <v>1.1414256498944</v>
      </c>
      <c r="E22" s="3">
        <v>19479.031510419802</v>
      </c>
      <c r="F22">
        <v>117.390931991899</v>
      </c>
      <c r="G22">
        <v>0.705667132586836</v>
      </c>
      <c r="H22" s="3">
        <v>21761.418855633801</v>
      </c>
      <c r="I22">
        <v>127.05739588586</v>
      </c>
      <c r="J22">
        <v>0.80989888395125198</v>
      </c>
      <c r="K22" s="3">
        <v>19045.4147232471</v>
      </c>
      <c r="L22">
        <v>113.822095891779</v>
      </c>
      <c r="M22">
        <v>0.71161397044437802</v>
      </c>
      <c r="N22" s="3">
        <v>22382.166356428999</v>
      </c>
      <c r="O22">
        <v>124.51386420923799</v>
      </c>
      <c r="P22">
        <v>0.93459925351834805</v>
      </c>
      <c r="R22" s="4" t="s">
        <v>62</v>
      </c>
    </row>
    <row r="23" spans="1:18" x14ac:dyDescent="0.2">
      <c r="A23">
        <v>792</v>
      </c>
      <c r="B23" s="3">
        <v>20723.328690150101</v>
      </c>
      <c r="C23">
        <v>124.100637435913</v>
      </c>
      <c r="D23">
        <v>0.97804557860555796</v>
      </c>
      <c r="E23" s="3">
        <v>17062.984812482999</v>
      </c>
      <c r="F23">
        <v>95.898137138436098</v>
      </c>
      <c r="G23">
        <v>0.84458714262376</v>
      </c>
      <c r="H23" s="3">
        <v>17337.6151863698</v>
      </c>
      <c r="I23">
        <v>98.414061454088795</v>
      </c>
      <c r="J23">
        <v>0.82574038392994198</v>
      </c>
      <c r="K23" s="3">
        <v>15714.5727718943</v>
      </c>
      <c r="L23">
        <v>96.040715047404305</v>
      </c>
      <c r="M23">
        <v>0.760373504261037</v>
      </c>
      <c r="N23" s="3">
        <v>18819.782284467099</v>
      </c>
      <c r="O23">
        <v>103.851191135053</v>
      </c>
      <c r="P23">
        <v>0.84011543367279395</v>
      </c>
      <c r="R23" s="4" t="s">
        <v>63</v>
      </c>
    </row>
    <row r="24" spans="1:18" x14ac:dyDescent="0.2">
      <c r="A24">
        <v>804</v>
      </c>
      <c r="B24" s="3">
        <v>6102.0730903521599</v>
      </c>
      <c r="C24">
        <v>143.32711696624699</v>
      </c>
      <c r="D24">
        <v>0.67226833913734496</v>
      </c>
      <c r="E24" s="3">
        <v>6392.3527955814998</v>
      </c>
      <c r="F24">
        <v>121.618919795236</v>
      </c>
      <c r="G24">
        <v>0.80897774369873499</v>
      </c>
      <c r="H24" s="3">
        <v>5209.9864781859796</v>
      </c>
      <c r="I24">
        <v>129.48572636243401</v>
      </c>
      <c r="J24">
        <v>0.643692353512062</v>
      </c>
      <c r="K24" s="3">
        <v>5920.5961563260298</v>
      </c>
      <c r="L24">
        <v>135.167855332144</v>
      </c>
      <c r="M24">
        <v>0.84363730163009198</v>
      </c>
      <c r="N24" s="3">
        <v>5730.7731384213002</v>
      </c>
      <c r="O24">
        <v>134.17703317876101</v>
      </c>
      <c r="P24">
        <v>0.74658728029725996</v>
      </c>
      <c r="R24" s="4" t="s">
        <v>64</v>
      </c>
    </row>
    <row r="25" spans="1:18" x14ac:dyDescent="0.2">
      <c r="A25">
        <v>812</v>
      </c>
      <c r="B25" s="3">
        <v>30142.319486064702</v>
      </c>
      <c r="C25">
        <v>96.875482797622595</v>
      </c>
      <c r="D25">
        <v>2.6488140817718202</v>
      </c>
      <c r="E25" s="3">
        <v>25246.989055296301</v>
      </c>
      <c r="F25">
        <v>87.441142348662893</v>
      </c>
      <c r="G25">
        <v>1.9372161433797701</v>
      </c>
      <c r="H25" s="3">
        <v>25242.528466386299</v>
      </c>
      <c r="I25">
        <v>95.207103618512207</v>
      </c>
      <c r="J25">
        <v>2.0404377770370701</v>
      </c>
      <c r="K25" s="3">
        <v>27067.3927132069</v>
      </c>
      <c r="L25">
        <v>94.137615334942595</v>
      </c>
      <c r="M25">
        <v>2.4998422154444202</v>
      </c>
      <c r="N25" s="3">
        <v>24531.134835250701</v>
      </c>
      <c r="O25">
        <v>90.291767772788205</v>
      </c>
      <c r="P25">
        <v>1.98446320436103</v>
      </c>
      <c r="R25" s="4" t="s">
        <v>65</v>
      </c>
    </row>
    <row r="26" spans="1:18" x14ac:dyDescent="0.2">
      <c r="A26">
        <v>816</v>
      </c>
      <c r="B26" s="3">
        <v>9819.0736833980409</v>
      </c>
      <c r="C26">
        <v>180.01823425292901</v>
      </c>
      <c r="D26">
        <v>0.71168249891995405</v>
      </c>
      <c r="E26" s="3">
        <v>5744.0279621826703</v>
      </c>
      <c r="F26">
        <v>163.98991841072501</v>
      </c>
      <c r="G26">
        <v>0.36798252511766899</v>
      </c>
      <c r="H26" s="3">
        <v>7855.95461682728</v>
      </c>
      <c r="I26">
        <v>181.50148919627401</v>
      </c>
      <c r="J26">
        <v>0.57824254207157999</v>
      </c>
      <c r="K26" s="3">
        <v>4889.0005725812298</v>
      </c>
      <c r="L26">
        <v>171.832115762955</v>
      </c>
      <c r="M26">
        <v>0.37647829611420403</v>
      </c>
      <c r="N26" s="3">
        <v>3998.73880972693</v>
      </c>
      <c r="O26">
        <v>170.354364234879</v>
      </c>
      <c r="P26">
        <v>0.31424808040070001</v>
      </c>
    </row>
    <row r="27" spans="1:18" x14ac:dyDescent="0.2">
      <c r="A27">
        <v>822</v>
      </c>
      <c r="B27" s="3">
        <v>18739.855282258701</v>
      </c>
      <c r="C27">
        <v>132.507514953613</v>
      </c>
      <c r="D27">
        <v>0.62799430975051695</v>
      </c>
      <c r="E27" s="3">
        <v>27464.9795929213</v>
      </c>
      <c r="F27">
        <v>117.853039235164</v>
      </c>
      <c r="G27">
        <v>0.73394217883056201</v>
      </c>
      <c r="H27" s="3">
        <v>23799.284202558902</v>
      </c>
      <c r="I27">
        <v>109.47972471238501</v>
      </c>
      <c r="J27">
        <v>0.64424356919510195</v>
      </c>
      <c r="K27" s="3">
        <v>26873.744005621</v>
      </c>
      <c r="L27">
        <v>109.222200216365</v>
      </c>
      <c r="M27">
        <v>0.83272639268983695</v>
      </c>
      <c r="N27" s="3">
        <v>22376.237915873498</v>
      </c>
      <c r="O27">
        <v>118.185439832746</v>
      </c>
      <c r="P27">
        <v>0.597081371035175</v>
      </c>
    </row>
    <row r="28" spans="1:18" x14ac:dyDescent="0.2">
      <c r="A28">
        <v>827</v>
      </c>
      <c r="B28" s="3">
        <v>72958.080676508995</v>
      </c>
      <c r="C28">
        <v>103.762984275817</v>
      </c>
      <c r="D28">
        <v>1.02993849735035</v>
      </c>
      <c r="E28" s="3">
        <v>82190.067771210102</v>
      </c>
      <c r="F28">
        <v>103.70931982881601</v>
      </c>
      <c r="G28">
        <v>1.34332111269333</v>
      </c>
      <c r="H28" s="3">
        <v>74488.857004023695</v>
      </c>
      <c r="I28">
        <v>95.788332306694898</v>
      </c>
      <c r="J28">
        <v>1.09531107956564</v>
      </c>
      <c r="K28" s="3">
        <v>82179.213490829803</v>
      </c>
      <c r="L28">
        <v>121.18450771361</v>
      </c>
      <c r="M28">
        <v>1.2729486010553499</v>
      </c>
      <c r="N28" s="3">
        <v>76543.807526140794</v>
      </c>
      <c r="O28">
        <v>102.779478159918</v>
      </c>
      <c r="P28">
        <v>1.07133548276132</v>
      </c>
    </row>
    <row r="29" spans="1:18" x14ac:dyDescent="0.2">
      <c r="A29">
        <v>838</v>
      </c>
      <c r="B29" s="3">
        <v>14664.387883576999</v>
      </c>
      <c r="C29">
        <v>122.177636623382</v>
      </c>
      <c r="D29">
        <v>1.46868716325119</v>
      </c>
      <c r="E29" s="3">
        <v>10118.810978817801</v>
      </c>
      <c r="F29">
        <v>96.573023574976304</v>
      </c>
      <c r="G29">
        <v>1.0686986186384599</v>
      </c>
      <c r="H29" s="3">
        <v>8570.9074742784796</v>
      </c>
      <c r="I29">
        <v>88.6040852816148</v>
      </c>
      <c r="J29">
        <v>0.89154628658614798</v>
      </c>
      <c r="K29" s="3">
        <v>9998.1749393588598</v>
      </c>
      <c r="L29">
        <v>95.238596715171894</v>
      </c>
      <c r="M29">
        <v>1.0002407185245401</v>
      </c>
      <c r="N29" s="3">
        <v>7104.6238035403903</v>
      </c>
      <c r="O29">
        <v>79.352851065896203</v>
      </c>
      <c r="P29">
        <v>0.714460748348552</v>
      </c>
    </row>
    <row r="30" spans="1:18" x14ac:dyDescent="0.2">
      <c r="A30">
        <v>876</v>
      </c>
      <c r="B30" s="3">
        <v>5363.2299969328096</v>
      </c>
      <c r="C30">
        <v>200</v>
      </c>
      <c r="D30">
        <v>1.0370521521571801</v>
      </c>
      <c r="E30" s="3">
        <v>1937.40167626628</v>
      </c>
      <c r="F30">
        <v>200</v>
      </c>
      <c r="G30">
        <v>0.37462249153620603</v>
      </c>
      <c r="H30" s="3">
        <v>3176.8</v>
      </c>
      <c r="I30">
        <v>200</v>
      </c>
      <c r="J30">
        <v>0.61427671178944898</v>
      </c>
      <c r="K30" s="3">
        <v>3479.8605800129399</v>
      </c>
      <c r="L30">
        <v>200</v>
      </c>
      <c r="M30">
        <v>0.67287752284565505</v>
      </c>
      <c r="N30" s="3">
        <v>237.123611450195</v>
      </c>
      <c r="O30">
        <v>200</v>
      </c>
      <c r="P30">
        <v>4.5851017479622502E-2</v>
      </c>
    </row>
    <row r="31" spans="1:18" x14ac:dyDescent="0.2">
      <c r="A31">
        <v>877</v>
      </c>
      <c r="B31" s="3">
        <v>2498.58249813769</v>
      </c>
      <c r="C31">
        <v>172.29632139205901</v>
      </c>
      <c r="D31">
        <v>0.74568385450702201</v>
      </c>
      <c r="E31" s="3">
        <v>1979.0465472251301</v>
      </c>
      <c r="F31">
        <v>166.113674015681</v>
      </c>
      <c r="G31">
        <v>0.497582408090738</v>
      </c>
      <c r="H31" s="3">
        <v>2072.5022257987398</v>
      </c>
      <c r="I31">
        <v>173.53579769875</v>
      </c>
      <c r="J31">
        <v>0.644323199086411</v>
      </c>
      <c r="K31" s="3">
        <v>2013.33562370714</v>
      </c>
      <c r="L31">
        <v>174.651259243526</v>
      </c>
      <c r="M31">
        <v>0.69829762289791797</v>
      </c>
      <c r="N31" s="3">
        <v>1965.59850252145</v>
      </c>
      <c r="O31">
        <v>169.90322470590399</v>
      </c>
      <c r="P31">
        <v>0.46519986128509</v>
      </c>
    </row>
    <row r="32" spans="1:18" x14ac:dyDescent="0.2">
      <c r="A32">
        <v>888</v>
      </c>
      <c r="B32" s="3">
        <v>5281.7877655203001</v>
      </c>
      <c r="C32">
        <v>107.522368431091</v>
      </c>
      <c r="D32">
        <v>0.60308219629898296</v>
      </c>
      <c r="E32" s="3">
        <v>5036.2184129450998</v>
      </c>
      <c r="F32">
        <v>96.403316844402696</v>
      </c>
      <c r="G32">
        <v>0.54947203951392798</v>
      </c>
      <c r="H32" s="3">
        <v>5572.5688620072997</v>
      </c>
      <c r="I32">
        <v>95.460755825564405</v>
      </c>
      <c r="J32">
        <v>0.611947178864651</v>
      </c>
      <c r="K32" s="3">
        <v>4938.5005341071601</v>
      </c>
      <c r="L32">
        <v>91.121643610477804</v>
      </c>
      <c r="M32">
        <v>0.55999863157801599</v>
      </c>
      <c r="N32" s="3">
        <v>5089.4431820540103</v>
      </c>
      <c r="O32">
        <v>109.02850913534201</v>
      </c>
      <c r="P32">
        <v>0.47669120171617502</v>
      </c>
    </row>
    <row r="33" spans="1:16" x14ac:dyDescent="0.2">
      <c r="A33">
        <v>890</v>
      </c>
      <c r="B33" s="3">
        <v>8757.4868541151609</v>
      </c>
      <c r="C33">
        <v>77.535670995712195</v>
      </c>
      <c r="D33">
        <v>0.71364237195867397</v>
      </c>
      <c r="E33" s="3">
        <v>6860.7628469527199</v>
      </c>
      <c r="F33">
        <v>62.753118508957797</v>
      </c>
      <c r="G33">
        <v>0.48869321768125001</v>
      </c>
      <c r="H33" s="3">
        <v>6475.2050059064004</v>
      </c>
      <c r="I33">
        <v>58.350620710069599</v>
      </c>
      <c r="J33">
        <v>0.51852694531227495</v>
      </c>
      <c r="K33" s="3">
        <v>10164.888964035499</v>
      </c>
      <c r="L33">
        <v>93.734227059425095</v>
      </c>
      <c r="M33">
        <v>0.76118946819715905</v>
      </c>
      <c r="N33" s="3">
        <v>8183.8234431035198</v>
      </c>
      <c r="O33">
        <v>83.331820605311904</v>
      </c>
      <c r="P33">
        <v>0.61080294969931004</v>
      </c>
    </row>
    <row r="34" spans="1:16" ht="74" customHeight="1" x14ac:dyDescent="0.2">
      <c r="A34" s="2" t="s">
        <v>81</v>
      </c>
      <c r="B34" s="3">
        <f t="shared" ref="B34:J34" si="0">AVERAGE(B2:B33)</f>
        <v>26610.936315862702</v>
      </c>
      <c r="C34" s="10">
        <f t="shared" si="0"/>
        <v>134.43915061652623</v>
      </c>
      <c r="D34" s="10">
        <f t="shared" si="0"/>
        <v>0.94711662088727289</v>
      </c>
      <c r="E34" s="3">
        <f t="shared" si="0"/>
        <v>21756.51288526904</v>
      </c>
      <c r="F34" s="10">
        <f t="shared" si="0"/>
        <v>122.5762731622614</v>
      </c>
      <c r="G34" s="10">
        <f t="shared" si="0"/>
        <v>0.73957392432502678</v>
      </c>
      <c r="H34" s="3">
        <f t="shared" si="0"/>
        <v>20284.355723326851</v>
      </c>
      <c r="I34" s="10">
        <f t="shared" si="0"/>
        <v>123.36967523093787</v>
      </c>
      <c r="J34" s="10">
        <f t="shared" si="0"/>
        <v>0.75472342434415296</v>
      </c>
      <c r="K34" s="3">
        <f>AVERAGE(K2:K33)</f>
        <v>21918.175375303308</v>
      </c>
      <c r="L34" s="10">
        <f t="shared" ref="L34:P34" si="1">AVERAGE(L2:L33)</f>
        <v>126.89105649648354</v>
      </c>
      <c r="M34" s="10">
        <f t="shared" si="1"/>
        <v>0.85434179113920861</v>
      </c>
      <c r="N34" s="3">
        <f t="shared" si="1"/>
        <v>21409.524819864524</v>
      </c>
      <c r="O34" s="10">
        <f t="shared" si="1"/>
        <v>125.60649437269532</v>
      </c>
      <c r="P34" s="10">
        <f t="shared" si="1"/>
        <v>0.68372081661205053</v>
      </c>
    </row>
    <row r="37" spans="1:16" x14ac:dyDescent="0.2">
      <c r="A37" t="s">
        <v>82</v>
      </c>
    </row>
    <row r="38" spans="1:16" s="1" customFormat="1" ht="51" x14ac:dyDescent="0.2">
      <c r="A38" s="26" t="s">
        <v>0</v>
      </c>
      <c r="B38" s="11" t="s">
        <v>1</v>
      </c>
      <c r="C38" s="26" t="s">
        <v>2</v>
      </c>
      <c r="D38" s="26" t="s">
        <v>3</v>
      </c>
      <c r="E38" s="11" t="s">
        <v>4</v>
      </c>
      <c r="F38" s="26" t="s">
        <v>5</v>
      </c>
      <c r="G38" s="26" t="s">
        <v>6</v>
      </c>
      <c r="H38" s="11" t="s">
        <v>7</v>
      </c>
      <c r="I38" s="26" t="s">
        <v>8</v>
      </c>
      <c r="J38" s="26" t="s">
        <v>9</v>
      </c>
      <c r="K38" s="11" t="s">
        <v>10</v>
      </c>
      <c r="L38" s="26" t="s">
        <v>11</v>
      </c>
      <c r="M38" s="26" t="s">
        <v>12</v>
      </c>
      <c r="N38" s="11" t="s">
        <v>13</v>
      </c>
      <c r="O38" s="26" t="s">
        <v>14</v>
      </c>
      <c r="P38" s="26" t="s">
        <v>15</v>
      </c>
    </row>
    <row r="39" spans="1:16" x14ac:dyDescent="0.2">
      <c r="A39" s="5">
        <v>47</v>
      </c>
      <c r="B39" s="3">
        <f>B2/MIN($B2,$E2,$H2,$K2,$N2)</f>
        <v>1.4200563431117421</v>
      </c>
      <c r="C39" s="5">
        <f>C2</f>
        <v>131.17012977600001</v>
      </c>
      <c r="D39" s="5">
        <f>D2</f>
        <v>0.64754821560904197</v>
      </c>
      <c r="E39" s="3">
        <f>E2/MIN($B2,$E2,$H2,$K2,$N2)</f>
        <v>1.0546138565598864</v>
      </c>
      <c r="F39" s="5">
        <f>F2</f>
        <v>124.46870657701101</v>
      </c>
      <c r="G39" s="5">
        <f>G2</f>
        <v>0.59550928053681895</v>
      </c>
      <c r="H39" s="3">
        <f>H2/MIN($B2,$E2,$H2,$K2,$N2)</f>
        <v>1</v>
      </c>
      <c r="I39" s="5">
        <f>I2</f>
        <v>131.62993145287501</v>
      </c>
      <c r="J39" s="5">
        <f>J2</f>
        <v>0.60739818762967701</v>
      </c>
      <c r="K39" s="3">
        <f>K2/MIN($B2,$E2,$H2,$K2,$N2)</f>
        <v>1.0272284825737896</v>
      </c>
      <c r="L39" s="5">
        <f>L2</f>
        <v>123.58661916297299</v>
      </c>
      <c r="M39" s="5">
        <f>M2</f>
        <v>0.60245200927611797</v>
      </c>
      <c r="N39" s="3">
        <f>N2/MIN($B2,$E2,$H2,$K2,$N2)</f>
        <v>1.0649973171549136</v>
      </c>
      <c r="O39" s="5">
        <f>O2</f>
        <v>126.76147089561999</v>
      </c>
      <c r="P39" s="5">
        <f>P2</f>
        <v>0.59900756058140203</v>
      </c>
    </row>
    <row r="40" spans="1:16" x14ac:dyDescent="0.2">
      <c r="A40" s="5">
        <v>65</v>
      </c>
      <c r="B40" s="3">
        <f>B3/MIN($B3,$E3,$H3,$K3,$N3)</f>
        <v>1.9085959146019082</v>
      </c>
      <c r="C40" s="5">
        <f>C3</f>
        <v>194.489502906799</v>
      </c>
      <c r="D40" s="5">
        <f>D3</f>
        <v>1.23122451612499</v>
      </c>
      <c r="E40" s="3">
        <f>E3/MIN($B3,$E3,$H3,$K3,$N3)</f>
        <v>1.069803021181214</v>
      </c>
      <c r="F40" s="5">
        <f>F3</f>
        <v>179.19803551747</v>
      </c>
      <c r="G40" s="5">
        <f>G3</f>
        <v>0.99346582017927998</v>
      </c>
      <c r="H40" s="3">
        <f>H3/MIN($B3,$E3,$H3,$K3,$N3)</f>
        <v>1</v>
      </c>
      <c r="I40" s="5">
        <f>I3</f>
        <v>170.87773881659101</v>
      </c>
      <c r="J40" s="5">
        <f>J3</f>
        <v>0.92350279942111102</v>
      </c>
      <c r="K40" s="3">
        <f>K3/MIN($B3,$E3,$H3,$K3,$N3)</f>
        <v>1.0770364678798172</v>
      </c>
      <c r="L40" s="5">
        <f>L3</f>
        <v>174.635227110008</v>
      </c>
      <c r="M40" s="5">
        <f>M3</f>
        <v>1.173553411586</v>
      </c>
      <c r="N40" s="3">
        <f>N3/MIN($B3,$E3,$H3,$K3,$N3)</f>
        <v>1.0435008474677752</v>
      </c>
      <c r="O40" s="5">
        <f>O3</f>
        <v>180.715129138316</v>
      </c>
      <c r="P40" s="5">
        <f>P3</f>
        <v>0.85574160835949298</v>
      </c>
    </row>
    <row r="41" spans="1:16" x14ac:dyDescent="0.2">
      <c r="A41" s="5">
        <v>98</v>
      </c>
      <c r="B41" s="3">
        <f>B4/MIN($B4,$E4,$H4,$K4,$N4)</f>
        <v>2.6773108271966031</v>
      </c>
      <c r="C41" s="5">
        <f>C4</f>
        <v>197.495687007904</v>
      </c>
      <c r="D41" s="5">
        <f>D4</f>
        <v>0.79280629007177505</v>
      </c>
      <c r="E41" s="3">
        <f>E4/MIN($B4,$E4,$H4,$K4,$N4)</f>
        <v>1</v>
      </c>
      <c r="F41" s="5">
        <f>F4</f>
        <v>198.655282308875</v>
      </c>
      <c r="G41" s="5">
        <f>G4</f>
        <v>0.34840919764515299</v>
      </c>
      <c r="H41" s="3">
        <f>H4/MIN($B4,$E4,$H4,$K4,$N4)</f>
        <v>2.0828784182252211</v>
      </c>
      <c r="I41" s="5">
        <f>I4</f>
        <v>194.288904586353</v>
      </c>
      <c r="J41" s="5">
        <f>J4</f>
        <v>0.85206360093588795</v>
      </c>
      <c r="K41" s="3">
        <f>K4/MIN($B4,$E4,$H4,$K4,$N4)</f>
        <v>3.2386528767052152</v>
      </c>
      <c r="L41" s="5">
        <f>L4</f>
        <v>195.56809507870599</v>
      </c>
      <c r="M41" s="5">
        <f>M4</f>
        <v>1.3022590634183999</v>
      </c>
      <c r="N41" s="3">
        <f>N4/MIN($B4,$E4,$H4,$K4,$N4)</f>
        <v>1.48314939207892</v>
      </c>
      <c r="O41" s="5">
        <f>O4</f>
        <v>194.52564921298901</v>
      </c>
      <c r="P41" s="5">
        <f>P4</f>
        <v>0.60095950578718704</v>
      </c>
    </row>
    <row r="42" spans="1:16" x14ac:dyDescent="0.2">
      <c r="A42" s="5">
        <v>114</v>
      </c>
      <c r="B42" s="3">
        <f>B5/MIN($B5,$E5,$H5,$K5,$N5)</f>
        <v>1.3416913163031714</v>
      </c>
      <c r="C42" s="5">
        <f>C5</f>
        <v>71.814417839050293</v>
      </c>
      <c r="D42" s="5">
        <f>D5</f>
        <v>0.75712929187857203</v>
      </c>
      <c r="E42" s="3">
        <f>E5/MIN($B5,$E5,$H5,$K5,$N5)</f>
        <v>1.2629209799215713</v>
      </c>
      <c r="F42" s="5">
        <f>F5</f>
        <v>52.295170773032503</v>
      </c>
      <c r="G42" s="5">
        <f>G5</f>
        <v>0.6589834757659</v>
      </c>
      <c r="H42" s="3">
        <f>H5/MIN($B5,$E5,$H5,$K5,$N5)</f>
        <v>1.0649358152204831</v>
      </c>
      <c r="I42" s="5">
        <f>I5</f>
        <v>49.0466732433947</v>
      </c>
      <c r="J42" s="5">
        <f>J5</f>
        <v>0.59838297957640996</v>
      </c>
      <c r="K42" s="3">
        <f>K5/MIN($B5,$E5,$H5,$K5,$N5)</f>
        <v>1</v>
      </c>
      <c r="L42" s="5">
        <f>L5</f>
        <v>47.625054535496098</v>
      </c>
      <c r="M42" s="5">
        <f>M5</f>
        <v>0.58030246013267095</v>
      </c>
      <c r="N42" s="3">
        <f>N5/MIN($B5,$E5,$H5,$K5,$N5)</f>
        <v>1.0465568307982438</v>
      </c>
      <c r="O42" s="5">
        <f>O5</f>
        <v>45.8637648863115</v>
      </c>
      <c r="P42" s="5">
        <f>P5</f>
        <v>0.54522902687556096</v>
      </c>
    </row>
    <row r="43" spans="1:16" x14ac:dyDescent="0.2">
      <c r="A43" s="5">
        <v>123</v>
      </c>
      <c r="B43" s="3">
        <f>B6/MIN($B6,$E6,$H6,$K6,$N6)</f>
        <v>1.2519635369681454</v>
      </c>
      <c r="C43" s="5">
        <f>C6</f>
        <v>134.94251966476401</v>
      </c>
      <c r="D43" s="5">
        <f>D6</f>
        <v>1.28953560661434</v>
      </c>
      <c r="E43" s="3">
        <f>E6/MIN($B6,$E6,$H6,$K6,$N6)</f>
        <v>1.0017455833464826</v>
      </c>
      <c r="F43" s="5">
        <f>F6</f>
        <v>121.95017267975</v>
      </c>
      <c r="G43" s="5">
        <f>G6</f>
        <v>0.99921980378140496</v>
      </c>
      <c r="H43" s="3">
        <f>H6/MIN($B6,$E6,$H6,$K6,$N6)</f>
        <v>1</v>
      </c>
      <c r="I43" s="5">
        <f>I6</f>
        <v>127.099444899757</v>
      </c>
      <c r="J43" s="5">
        <f>J6</f>
        <v>0.99838805934428998</v>
      </c>
      <c r="K43" s="3">
        <f>K6/MIN($B6,$E6,$H6,$K6,$N6)</f>
        <v>1.0929440363603615</v>
      </c>
      <c r="L43" s="5">
        <f>L6</f>
        <v>125.57087417904199</v>
      </c>
      <c r="M43" s="5">
        <f>M6</f>
        <v>1.03322383332848</v>
      </c>
      <c r="N43" s="3">
        <f>N6/MIN($B6,$E6,$H6,$K6,$N6)</f>
        <v>1.0901064640959772</v>
      </c>
      <c r="O43" s="5">
        <f>O6</f>
        <v>125.061835389495</v>
      </c>
      <c r="P43" s="5">
        <f>P6</f>
        <v>0.94414854181407304</v>
      </c>
    </row>
    <row r="44" spans="1:16" x14ac:dyDescent="0.2">
      <c r="A44" s="5">
        <v>168</v>
      </c>
      <c r="B44" s="3">
        <f>B7/MIN($B7,$E7,$H7,$K7,$N7)</f>
        <v>1.0201352868847593</v>
      </c>
      <c r="C44" s="5">
        <f>C7</f>
        <v>144.97840404510401</v>
      </c>
      <c r="D44" s="5">
        <f>D7</f>
        <v>0.96599894096501904</v>
      </c>
      <c r="E44" s="3">
        <f>E7/MIN($B7,$E7,$H7,$K7,$N7)</f>
        <v>1.1955782603614289</v>
      </c>
      <c r="F44" s="5">
        <f>F7</f>
        <v>139.36390958595899</v>
      </c>
      <c r="G44" s="5">
        <f>G7</f>
        <v>1.3221926509023001</v>
      </c>
      <c r="H44" s="3">
        <f>H7/MIN($B7,$E7,$H7,$K7,$N7)</f>
        <v>1</v>
      </c>
      <c r="I44" s="5">
        <f>I7</f>
        <v>127.99550276482</v>
      </c>
      <c r="J44" s="5">
        <f>J7</f>
        <v>0.99898051257201803</v>
      </c>
      <c r="K44" s="3">
        <f>K7/MIN($B7,$E7,$H7,$K7,$N7)</f>
        <v>1.0414759765507009</v>
      </c>
      <c r="L44" s="5">
        <f>L7</f>
        <v>146.346522341172</v>
      </c>
      <c r="M44" s="5">
        <f>M7</f>
        <v>1.37423251825152</v>
      </c>
      <c r="N44" s="3">
        <f>N7/MIN($B7,$E7,$H7,$K7,$N7)</f>
        <v>1.053698325282999</v>
      </c>
      <c r="O44" s="5">
        <f>O7</f>
        <v>129.906922795665</v>
      </c>
      <c r="P44" s="5">
        <f>P7</f>
        <v>0.97311432465910097</v>
      </c>
    </row>
    <row r="45" spans="1:16" x14ac:dyDescent="0.2">
      <c r="A45" s="5">
        <v>172</v>
      </c>
      <c r="B45" s="3">
        <f>B8/MIN($B8,$E8,$H8,$K8,$N8)</f>
        <v>1.2524317198587769</v>
      </c>
      <c r="C45" s="5">
        <f>C8</f>
        <v>133.656454086303</v>
      </c>
      <c r="D45" s="5">
        <f>D8</f>
        <v>0.69486120632965098</v>
      </c>
      <c r="E45" s="3">
        <f>E8/MIN($B8,$E8,$H8,$K8,$N8)</f>
        <v>1.0830303509632278</v>
      </c>
      <c r="F45" s="5">
        <f>F8</f>
        <v>122.744314063288</v>
      </c>
      <c r="G45" s="5">
        <f>G8</f>
        <v>0.78170999555890597</v>
      </c>
      <c r="H45" s="3">
        <f>H8/MIN($B8,$E8,$H8,$K8,$N8)</f>
        <v>1</v>
      </c>
      <c r="I45" s="5">
        <f>I8</f>
        <v>124.116836368261</v>
      </c>
      <c r="J45" s="5">
        <f>J8</f>
        <v>0.71916300402851696</v>
      </c>
      <c r="K45" s="3">
        <f>K8/MIN($B8,$E8,$H8,$K8,$N8)</f>
        <v>1.3466051812168514</v>
      </c>
      <c r="L45" s="5">
        <f>L8</f>
        <v>134.52712278562001</v>
      </c>
      <c r="M45" s="5">
        <f>M8</f>
        <v>1.1610053333293699</v>
      </c>
      <c r="N45" s="3">
        <f>N8/MIN($B8,$E8,$H8,$K8,$N8)</f>
        <v>1.0993460164640896</v>
      </c>
      <c r="O45" s="5">
        <f>O8</f>
        <v>109.41160242200201</v>
      </c>
      <c r="P45" s="5">
        <f>P8</f>
        <v>0.55467650901841004</v>
      </c>
    </row>
    <row r="46" spans="1:16" x14ac:dyDescent="0.2">
      <c r="A46" s="5">
        <v>185</v>
      </c>
      <c r="B46" s="3">
        <f>B9/MIN($B9,$E9,$H9,$K9,$N9)</f>
        <v>1</v>
      </c>
      <c r="C46" s="5">
        <f>C9</f>
        <v>95.809054374694796</v>
      </c>
      <c r="D46" s="5">
        <f>D9</f>
        <v>0.70439116829745996</v>
      </c>
      <c r="E46" s="3">
        <f>E9/MIN($B9,$E9,$H9,$K9,$N9)</f>
        <v>1.2445091397134302</v>
      </c>
      <c r="F46" s="5">
        <f>F9</f>
        <v>97.700367494684201</v>
      </c>
      <c r="G46" s="5">
        <f>G9</f>
        <v>0.85835183006424198</v>
      </c>
      <c r="H46" s="3">
        <f>H9/MIN($B9,$E9,$H9,$K9,$N9)</f>
        <v>1.1935886995647924</v>
      </c>
      <c r="I46" s="5">
        <f>I9</f>
        <v>97.991747410767402</v>
      </c>
      <c r="J46" s="5">
        <f>J9</f>
        <v>0.77096482350467899</v>
      </c>
      <c r="K46" s="3">
        <f>K9/MIN($B9,$E9,$H9,$K9,$N9)</f>
        <v>1.1549229354948056</v>
      </c>
      <c r="L46" s="5">
        <f>L9</f>
        <v>95.848274813363702</v>
      </c>
      <c r="M46" s="5">
        <f>M9</f>
        <v>0.69847377105336195</v>
      </c>
      <c r="N46" s="3">
        <f>N9/MIN($B9,$E9,$H9,$K9,$N9)</f>
        <v>1.1959418579382912</v>
      </c>
      <c r="O46" s="5">
        <f>O9</f>
        <v>97.479797160265704</v>
      </c>
      <c r="P46" s="5">
        <f>P9</f>
        <v>0.77787275522445298</v>
      </c>
    </row>
    <row r="47" spans="1:16" x14ac:dyDescent="0.2">
      <c r="A47" s="5">
        <v>195</v>
      </c>
      <c r="B47" s="3">
        <f>B10/MIN($B10,$E10,$H10,$K10,$N10)</f>
        <v>1.3484873164366964</v>
      </c>
      <c r="C47" s="5">
        <f>C10</f>
        <v>115.95885753631499</v>
      </c>
      <c r="D47" s="5">
        <f>D10</f>
        <v>0.79768820141864005</v>
      </c>
      <c r="E47" s="3">
        <f>E10/MIN($B10,$E10,$H10,$K10,$N10)</f>
        <v>1.01201139080324</v>
      </c>
      <c r="F47" s="5">
        <f>F10</f>
        <v>90.783409211563495</v>
      </c>
      <c r="G47" s="5">
        <f>G10</f>
        <v>0.52772235836524095</v>
      </c>
      <c r="H47" s="3">
        <f>H10/MIN($B10,$E10,$H10,$K10,$N10)</f>
        <v>1.0023229703118628</v>
      </c>
      <c r="I47" s="5">
        <f>I10</f>
        <v>93.153237268484503</v>
      </c>
      <c r="J47" s="5">
        <f>J10</f>
        <v>0.56041587014916205</v>
      </c>
      <c r="K47" s="3">
        <f>K10/MIN($B10,$E10,$H10,$K10,$N10)</f>
        <v>1.2306411043898848</v>
      </c>
      <c r="L47" s="5">
        <f>L10</f>
        <v>103.727770791624</v>
      </c>
      <c r="M47" s="5">
        <f>M10</f>
        <v>0.69917742182755904</v>
      </c>
      <c r="N47" s="3">
        <f>N10/MIN($B10,$E10,$H10,$K10,$N10)</f>
        <v>1</v>
      </c>
      <c r="O47" s="5">
        <f>O10</f>
        <v>81.4198061875462</v>
      </c>
      <c r="P47" s="5">
        <f>P10</f>
        <v>0.46462675298062101</v>
      </c>
    </row>
    <row r="48" spans="1:16" x14ac:dyDescent="0.2">
      <c r="A48" s="5">
        <v>197</v>
      </c>
      <c r="B48" s="3">
        <f>B11/MIN($B11,$E11,$H11,$K11,$N11)</f>
        <v>1</v>
      </c>
      <c r="C48" s="5">
        <f>C11</f>
        <v>130.73250055313099</v>
      </c>
      <c r="D48" s="5">
        <f>D11</f>
        <v>0.69442365366937897</v>
      </c>
      <c r="E48" s="3">
        <f>E11/MIN($B11,$E11,$H11,$K11,$N11)</f>
        <v>1.0522561029569164</v>
      </c>
      <c r="F48" s="5">
        <f>F11</f>
        <v>139.818165296465</v>
      </c>
      <c r="G48" s="5">
        <f>G11</f>
        <v>0.83446832872863996</v>
      </c>
      <c r="H48" s="3">
        <f>H11/MIN($B11,$E11,$H11,$K11,$N11)</f>
        <v>1.006092995108621</v>
      </c>
      <c r="I48" s="5">
        <f>I11</f>
        <v>141.97313482436701</v>
      </c>
      <c r="J48" s="5">
        <f>J11</f>
        <v>0.85900884756294504</v>
      </c>
      <c r="K48" s="3">
        <f>K11/MIN($B11,$E11,$H11,$K11,$N11)</f>
        <v>1.0019133589169025</v>
      </c>
      <c r="L48" s="5">
        <f>L11</f>
        <v>139.86697620581199</v>
      </c>
      <c r="M48" s="5">
        <f>M11</f>
        <v>0.72394560530791396</v>
      </c>
      <c r="N48" s="3">
        <f>N11/MIN($B11,$E11,$H11,$K11,$N11)</f>
        <v>1.137745054132659</v>
      </c>
      <c r="O48" s="5">
        <f>O11</f>
        <v>148.831362397329</v>
      </c>
      <c r="P48" s="5">
        <f>P11</f>
        <v>0.67780563665932803</v>
      </c>
    </row>
    <row r="49" spans="1:16" x14ac:dyDescent="0.2">
      <c r="A49" s="5">
        <v>237</v>
      </c>
      <c r="B49" s="3">
        <f>B12/MIN($B12,$E12,$H12,$K12,$N12)</f>
        <v>1.2786563848870285</v>
      </c>
      <c r="C49" s="5">
        <f>C12</f>
        <v>130.29329776763899</v>
      </c>
      <c r="D49" s="5">
        <f>D12</f>
        <v>0.78776278617214801</v>
      </c>
      <c r="E49" s="3">
        <f>E12/MIN($B12,$E12,$H12,$K12,$N12)</f>
        <v>1.1063604746606901</v>
      </c>
      <c r="F49" s="5">
        <f>F12</f>
        <v>125.235767098729</v>
      </c>
      <c r="G49" s="5">
        <f>G12</f>
        <v>0.54339941350544196</v>
      </c>
      <c r="H49" s="3">
        <f>H12/MIN($B12,$E12,$H12,$K12,$N12)</f>
        <v>1</v>
      </c>
      <c r="I49" s="5">
        <f>I12</f>
        <v>120.257009275283</v>
      </c>
      <c r="J49" s="5">
        <f>J12</f>
        <v>0.61263738346039998</v>
      </c>
      <c r="K49" s="3">
        <f>K12/MIN($B12,$E12,$H12,$K12,$N12)</f>
        <v>1.2168148525649167</v>
      </c>
      <c r="L49" s="5">
        <f>L12</f>
        <v>115.400861052458</v>
      </c>
      <c r="M49" s="5">
        <f>M12</f>
        <v>0.66647929663866601</v>
      </c>
      <c r="N49" s="3">
        <f>N12/MIN($B12,$E12,$H12,$K12,$N12)</f>
        <v>1.0449949170813744</v>
      </c>
      <c r="O49" s="5">
        <f>O12</f>
        <v>115.400607969552</v>
      </c>
      <c r="P49" s="5">
        <f>P12</f>
        <v>0.436851324798051</v>
      </c>
    </row>
    <row r="50" spans="1:16" x14ac:dyDescent="0.2">
      <c r="A50" s="5">
        <v>272</v>
      </c>
      <c r="B50" s="3">
        <f>B13/MIN($B13,$E13,$H13,$K13,$N13)</f>
        <v>1.7184694878559448</v>
      </c>
      <c r="C50" s="5">
        <f>C13</f>
        <v>171.61689996719301</v>
      </c>
      <c r="D50" s="5">
        <f>D13</f>
        <v>1.3371130177747199</v>
      </c>
      <c r="E50" s="3">
        <f>E13/MIN($B13,$E13,$H13,$K13,$N13)</f>
        <v>1.0557492851913852</v>
      </c>
      <c r="F50" s="5">
        <f>F13</f>
        <v>145.14119736861201</v>
      </c>
      <c r="G50" s="5">
        <f>G13</f>
        <v>0.84864270259796903</v>
      </c>
      <c r="H50" s="3">
        <f>H13/MIN($B13,$E13,$H13,$K13,$N13)</f>
        <v>1.0314071286492106</v>
      </c>
      <c r="I50" s="5">
        <f>I13</f>
        <v>140.29284720013399</v>
      </c>
      <c r="J50" s="5">
        <f>J13</f>
        <v>0.72253168570134996</v>
      </c>
      <c r="K50" s="3">
        <f>K13/MIN($B13,$E13,$H13,$K13,$N13)</f>
        <v>1</v>
      </c>
      <c r="L50" s="5">
        <f>L13</f>
        <v>153.23900081012201</v>
      </c>
      <c r="M50" s="5">
        <f>M13</f>
        <v>0.81625900805044505</v>
      </c>
      <c r="N50" s="3">
        <f>N13/MIN($B13,$E13,$H13,$K13,$N13)</f>
        <v>1.0579711184711273</v>
      </c>
      <c r="O50" s="5">
        <f>O13</f>
        <v>147.75059261094</v>
      </c>
      <c r="P50" s="5">
        <f>P13</f>
        <v>0.92669206682777305</v>
      </c>
    </row>
    <row r="51" spans="1:16" x14ac:dyDescent="0.2">
      <c r="A51" s="5">
        <v>279</v>
      </c>
      <c r="B51" s="3">
        <f>B14/MIN($B14,$E14,$H14,$K14,$N14)</f>
        <v>1.5466471631110588</v>
      </c>
      <c r="C51" s="5">
        <f>C14</f>
        <v>103.360271453857</v>
      </c>
      <c r="D51" s="5">
        <f>D14</f>
        <v>0.71885526539280997</v>
      </c>
      <c r="E51" s="3">
        <f>E14/MIN($B14,$E14,$H14,$K14,$N14)</f>
        <v>1</v>
      </c>
      <c r="F51" s="5">
        <f>F14</f>
        <v>91.364041413681093</v>
      </c>
      <c r="G51" s="5">
        <f>G14</f>
        <v>0.57707656543660402</v>
      </c>
      <c r="H51" s="3">
        <f>H14/MIN($B14,$E14,$H14,$K14,$N14)</f>
        <v>1.0653367371255615</v>
      </c>
      <c r="I51" s="5">
        <f>I14</f>
        <v>101.999681551061</v>
      </c>
      <c r="J51" s="5">
        <f>J14</f>
        <v>0.61152428867659703</v>
      </c>
      <c r="K51" s="3">
        <f>K14/MIN($B14,$E14,$H14,$K14,$N14)</f>
        <v>1.456987368952245</v>
      </c>
      <c r="L51" s="5">
        <f>L14</f>
        <v>111.295453184907</v>
      </c>
      <c r="M51" s="5">
        <f>M14</f>
        <v>0.84488714662013997</v>
      </c>
      <c r="N51" s="3">
        <f>N14/MIN($B14,$E14,$H14,$K14,$N14)</f>
        <v>1.2434007876336641</v>
      </c>
      <c r="O51" s="5">
        <f>O14</f>
        <v>92.970672150381006</v>
      </c>
      <c r="P51" s="5">
        <f>P14</f>
        <v>0.56071611760450402</v>
      </c>
    </row>
    <row r="52" spans="1:16" x14ac:dyDescent="0.2">
      <c r="A52" s="5">
        <v>709</v>
      </c>
      <c r="B52" s="3">
        <f>B15/MIN($B15,$E15,$H15,$K15,$N15)</f>
        <v>2.3741446344293267</v>
      </c>
      <c r="C52" s="5">
        <f>C15</f>
        <v>129.69732284545799</v>
      </c>
      <c r="D52" s="5">
        <f>D15</f>
        <v>3.4923218815536401E-2</v>
      </c>
      <c r="E52" s="3">
        <f>E15/MIN($B15,$E15,$H15,$K15,$N15)</f>
        <v>1.0996114393807164</v>
      </c>
      <c r="F52" s="5">
        <f>F15</f>
        <v>183.67090019803399</v>
      </c>
      <c r="G52" s="5">
        <f>G15</f>
        <v>1.2730766131148199E-2</v>
      </c>
      <c r="H52" s="3">
        <f>H15/MIN($B15,$E15,$H15,$K15,$N15)</f>
        <v>2.8214224064032072</v>
      </c>
      <c r="I52" s="5">
        <f>I15</f>
        <v>165.56261685451301</v>
      </c>
      <c r="J52" s="5">
        <f>J15</f>
        <v>4.7826415830247097E-2</v>
      </c>
      <c r="K52" s="3">
        <f>K15/MIN($B15,$E15,$H15,$K15,$N15)</f>
        <v>1</v>
      </c>
      <c r="L52" s="5">
        <f>L15</f>
        <v>134.217097635107</v>
      </c>
      <c r="M52" s="5">
        <f>M15</f>
        <v>1.18185474255223E-2</v>
      </c>
      <c r="N52" s="3">
        <f>N15/MIN($B15,$E15,$H15,$K15,$N15)</f>
        <v>1.0269604798649437</v>
      </c>
      <c r="O52" s="5">
        <f>O15</f>
        <v>141.92301973046401</v>
      </c>
      <c r="P52" s="5">
        <f>P15</f>
        <v>1.4362701702125001E-2</v>
      </c>
    </row>
    <row r="53" spans="1:16" x14ac:dyDescent="0.2">
      <c r="A53" s="5">
        <v>712</v>
      </c>
      <c r="B53" s="3">
        <f>B16/MIN($B16,$E16,$H16,$K16,$N16)</f>
        <v>1.4551397378205204</v>
      </c>
      <c r="C53" s="5">
        <f>C16</f>
        <v>147.589862346649</v>
      </c>
      <c r="D53" s="5">
        <f>D16</f>
        <v>0.84739235665421497</v>
      </c>
      <c r="E53" s="3">
        <f>E16/MIN($B16,$E16,$H16,$K16,$N16)</f>
        <v>1.0515780274997022</v>
      </c>
      <c r="F53" s="5">
        <f>F16</f>
        <v>129.52510133865599</v>
      </c>
      <c r="G53" s="5">
        <f>G16</f>
        <v>0.66111218449446796</v>
      </c>
      <c r="H53" s="3">
        <f>H16/MIN($B16,$E16,$H16,$K16,$N16)</f>
        <v>1</v>
      </c>
      <c r="I53" s="5">
        <f>I16</f>
        <v>128.268122645142</v>
      </c>
      <c r="J53" s="5">
        <f>J16</f>
        <v>0.66640911157994698</v>
      </c>
      <c r="K53" s="3">
        <f>K16/MIN($B16,$E16,$H16,$K16,$N16)</f>
        <v>1.2686520333896829</v>
      </c>
      <c r="L53" s="5">
        <f>L16</f>
        <v>134.72320090260499</v>
      </c>
      <c r="M53" s="5">
        <f>M16</f>
        <v>0.95875593869829601</v>
      </c>
      <c r="N53" s="3">
        <f>N16/MIN($B16,$E16,$H16,$K16,$N16)</f>
        <v>1.236260834054983</v>
      </c>
      <c r="O53" s="5">
        <f>O16</f>
        <v>169.243972270423</v>
      </c>
      <c r="P53" s="5">
        <f>P16</f>
        <v>0.63971838506748302</v>
      </c>
    </row>
    <row r="54" spans="1:16" x14ac:dyDescent="0.2">
      <c r="A54" s="5">
        <v>714</v>
      </c>
      <c r="B54" s="3">
        <f>B17/MIN($B17,$E17,$H17,$K17,$N17)</f>
        <v>4.3156914395489636</v>
      </c>
      <c r="C54" s="5">
        <f>C17</f>
        <v>167.465388774871</v>
      </c>
      <c r="D54" s="5">
        <f>D17</f>
        <v>0.73308112349751997</v>
      </c>
      <c r="E54" s="3">
        <f>E17/MIN($B17,$E17,$H17,$K17,$N17)</f>
        <v>1</v>
      </c>
      <c r="F54" s="5">
        <f>F17</f>
        <v>115.85790890621099</v>
      </c>
      <c r="G54" s="5">
        <f>G17</f>
        <v>0.27313364596908402</v>
      </c>
      <c r="H54" s="3">
        <f>H17/MIN($B17,$E17,$H17,$K17,$N17)</f>
        <v>1.882788134737039</v>
      </c>
      <c r="I54" s="5">
        <f>I17</f>
        <v>147.790457747408</v>
      </c>
      <c r="J54" s="5">
        <f>J17</f>
        <v>0.53249301066766996</v>
      </c>
      <c r="K54" s="3">
        <f>K17/MIN($B17,$E17,$H17,$K17,$N17)</f>
        <v>1.1864786464521335</v>
      </c>
      <c r="L54" s="5">
        <f>L17</f>
        <v>166.52448194172601</v>
      </c>
      <c r="M54" s="5">
        <f>M17</f>
        <v>0.26778470666002002</v>
      </c>
      <c r="N54" s="3">
        <f>N17/MIN($B17,$E17,$H17,$K17,$N17)</f>
        <v>1.1195009280779058</v>
      </c>
      <c r="O54" s="5">
        <f>O17</f>
        <v>158.142225705133</v>
      </c>
      <c r="P54" s="5">
        <f>P17</f>
        <v>0.29305469656847899</v>
      </c>
    </row>
    <row r="55" spans="1:16" x14ac:dyDescent="0.2">
      <c r="A55" s="5">
        <v>722</v>
      </c>
      <c r="B55" s="3">
        <f>B18/MIN($B18,$E18,$H18,$K18,$N18)</f>
        <v>1.4720391470249321</v>
      </c>
      <c r="C55" s="5">
        <f>C18</f>
        <v>116.446280479431</v>
      </c>
      <c r="D55" s="5">
        <f>D18</f>
        <v>0.94107153472242699</v>
      </c>
      <c r="E55" s="3">
        <f>E18/MIN($B18,$E18,$H18,$K18,$N18)</f>
        <v>1.166499885705512</v>
      </c>
      <c r="F55" s="5">
        <f>F18</f>
        <v>119.58094322038301</v>
      </c>
      <c r="G55" s="5">
        <f>G18</f>
        <v>0.83321798769566302</v>
      </c>
      <c r="H55" s="3">
        <f>H18/MIN($B18,$E18,$H18,$K18,$N18)</f>
        <v>1</v>
      </c>
      <c r="I55" s="5">
        <f>I18</f>
        <v>105.6496447719</v>
      </c>
      <c r="J55" s="5">
        <f>J18</f>
        <v>0.65124829178011201</v>
      </c>
      <c r="K55" s="3">
        <f>K18/MIN($B18,$E18,$H18,$K18,$N18)</f>
        <v>1.0359196086380955</v>
      </c>
      <c r="L55" s="5">
        <f>L18</f>
        <v>113.954672421723</v>
      </c>
      <c r="M55" s="5">
        <f>M18</f>
        <v>0.71954789103941297</v>
      </c>
      <c r="N55" s="3">
        <f>N18/MIN($B18,$E18,$H18,$K18,$N18)</f>
        <v>1.1049252847456583</v>
      </c>
      <c r="O55" s="5">
        <f>O18</f>
        <v>119.05677783098</v>
      </c>
      <c r="P55" s="5">
        <f>P18</f>
        <v>0.80713336423583704</v>
      </c>
    </row>
    <row r="56" spans="1:16" x14ac:dyDescent="0.2">
      <c r="A56" s="5">
        <v>724</v>
      </c>
      <c r="B56" s="3">
        <f>B19/MIN($B19,$E19,$H19,$K19,$N19)</f>
        <v>1.435630066222872</v>
      </c>
      <c r="C56" s="5">
        <f>C19</f>
        <v>80.6029438972473</v>
      </c>
      <c r="D56" s="5">
        <f>D19</f>
        <v>1.0561631423298901</v>
      </c>
      <c r="E56" s="3">
        <f>E19/MIN($B19,$E19,$H19,$K19,$N19)</f>
        <v>1.0983031952132212</v>
      </c>
      <c r="F56" s="5">
        <f>F19</f>
        <v>62.0953075805023</v>
      </c>
      <c r="G56" s="5">
        <f>G19</f>
        <v>0.76970395255276502</v>
      </c>
      <c r="H56" s="3">
        <f>H19/MIN($B19,$E19,$H19,$K19,$N19)</f>
        <v>1</v>
      </c>
      <c r="I56" s="5">
        <f>I19</f>
        <v>58.451438548924003</v>
      </c>
      <c r="J56" s="5">
        <f>J19</f>
        <v>0.69200543052131702</v>
      </c>
      <c r="K56" s="3">
        <f>K19/MIN($B19,$E19,$H19,$K19,$N19)</f>
        <v>1.1775422176004979</v>
      </c>
      <c r="L56" s="5">
        <f>L19</f>
        <v>72.467825277977795</v>
      </c>
      <c r="M56" s="5">
        <f>M19</f>
        <v>0.92137680640563402</v>
      </c>
      <c r="N56" s="3">
        <f>N19/MIN($B19,$E19,$H19,$K19,$N19)</f>
        <v>1.1538278557392878</v>
      </c>
      <c r="O56" s="5">
        <f>O19</f>
        <v>62.707921409997297</v>
      </c>
      <c r="P56" s="5">
        <f>P19</f>
        <v>0.69902044786152295</v>
      </c>
    </row>
    <row r="57" spans="1:16" x14ac:dyDescent="0.2">
      <c r="A57" s="5">
        <v>749</v>
      </c>
      <c r="B57" s="3">
        <f>B20/MIN($B20,$E20,$H20,$K20,$N20)</f>
        <v>2.6884911129755604</v>
      </c>
      <c r="C57" s="5">
        <f>C20</f>
        <v>140.90198278427101</v>
      </c>
      <c r="D57" s="5">
        <f>D20</f>
        <v>1.89175459946286</v>
      </c>
      <c r="E57" s="3">
        <f>E20/MIN($B20,$E20,$H20,$K20,$N20)</f>
        <v>1</v>
      </c>
      <c r="F57" s="5">
        <f>F20</f>
        <v>104.79200705662301</v>
      </c>
      <c r="G57" s="5">
        <f>G20</f>
        <v>0.67526558216079302</v>
      </c>
      <c r="H57" s="3">
        <f>H20/MIN($B20,$E20,$H20,$K20,$N20)</f>
        <v>1.0518347201103178</v>
      </c>
      <c r="I57" s="5">
        <f>I20</f>
        <v>113.27176145199</v>
      </c>
      <c r="J57" s="5">
        <f>J20</f>
        <v>0.76715855329846805</v>
      </c>
      <c r="K57" s="3">
        <f>K20/MIN($B20,$E20,$H20,$K20,$N20)</f>
        <v>1.2553618904337218</v>
      </c>
      <c r="L57" s="5">
        <f>L20</f>
        <v>123.032896940458</v>
      </c>
      <c r="M57" s="5">
        <f>M20</f>
        <v>1.01840352062766</v>
      </c>
      <c r="N57" s="3">
        <f>N20/MIN($B20,$E20,$H20,$K20,$N20)</f>
        <v>1.7043046728448845</v>
      </c>
      <c r="O57" s="5">
        <f>O20</f>
        <v>121.916770477021</v>
      </c>
      <c r="P57" s="5">
        <f>P20</f>
        <v>1.1718700535266799</v>
      </c>
    </row>
    <row r="58" spans="1:16" x14ac:dyDescent="0.2">
      <c r="A58" s="5">
        <v>777</v>
      </c>
      <c r="B58" s="3">
        <f>B21/MIN($B21,$E21,$H21,$K21,$N21)</f>
        <v>1.651875079361766</v>
      </c>
      <c r="C58" s="5">
        <f>C21</f>
        <v>164.55142498016301</v>
      </c>
      <c r="D58" s="5">
        <f>D21</f>
        <v>1.0056910389887399</v>
      </c>
      <c r="E58" s="3">
        <f>E21/MIN($B21,$E21,$H21,$K21,$N21)</f>
        <v>1</v>
      </c>
      <c r="F58" s="5">
        <f>F21</f>
        <v>148.45549180987899</v>
      </c>
      <c r="G58" s="5">
        <f>G21</f>
        <v>0.83128728193778301</v>
      </c>
      <c r="H58" s="3">
        <f>H21/MIN($B21,$E21,$H21,$K21,$N21)</f>
        <v>1.2362058257638422</v>
      </c>
      <c r="I58" s="5">
        <f>I21</f>
        <v>155.227782655738</v>
      </c>
      <c r="J58" s="5">
        <f>J21</f>
        <v>1.0408598118705099</v>
      </c>
      <c r="K58" s="3">
        <f>K21/MIN($B21,$E21,$H21,$K21,$N21)</f>
        <v>1.0061971636226461</v>
      </c>
      <c r="L58" s="5">
        <f>L21</f>
        <v>152.202948788773</v>
      </c>
      <c r="M58" s="5">
        <f>M21</f>
        <v>0.77477478109487896</v>
      </c>
      <c r="N58" s="3">
        <f>N21/MIN($B21,$E21,$H21,$K21,$N21)</f>
        <v>1.0513140408197441</v>
      </c>
      <c r="O58" s="5">
        <f>O21</f>
        <v>164.548375249982</v>
      </c>
      <c r="P58" s="5">
        <f>P21</f>
        <v>0.53502886685815698</v>
      </c>
    </row>
    <row r="59" spans="1:16" x14ac:dyDescent="0.2">
      <c r="A59" s="5">
        <v>782</v>
      </c>
      <c r="B59" s="3">
        <f>B22/MIN($B22,$E22,$H22,$K22,$N22)</f>
        <v>1.4495826443225994</v>
      </c>
      <c r="C59" s="5">
        <f>C22</f>
        <v>138.35564851760799</v>
      </c>
      <c r="D59" s="5">
        <f>D22</f>
        <v>1.1414256498944</v>
      </c>
      <c r="E59" s="3">
        <f>E22/MIN($B22,$E22,$H22,$K22,$N22)</f>
        <v>1.0227675161435799</v>
      </c>
      <c r="F59" s="5">
        <f>F22</f>
        <v>117.390931991899</v>
      </c>
      <c r="G59" s="5">
        <f>G22</f>
        <v>0.705667132586836</v>
      </c>
      <c r="H59" s="3">
        <f>H22/MIN($B22,$E22,$H22,$K22,$N22)</f>
        <v>1.1426067204024446</v>
      </c>
      <c r="I59" s="5">
        <f>I22</f>
        <v>127.05739588586</v>
      </c>
      <c r="J59" s="5">
        <f>J22</f>
        <v>0.80989888395125198</v>
      </c>
      <c r="K59" s="3">
        <f>K22/MIN($B22,$E22,$H22,$K22,$N22)</f>
        <v>1</v>
      </c>
      <c r="L59" s="5">
        <f>L22</f>
        <v>113.822095891779</v>
      </c>
      <c r="M59" s="5">
        <f>M22</f>
        <v>0.71161397044437802</v>
      </c>
      <c r="N59" s="3">
        <f>N22/MIN($B22,$E22,$H22,$K22,$N22)</f>
        <v>1.1751997360870809</v>
      </c>
      <c r="O59" s="5">
        <f>O22</f>
        <v>124.51386420923799</v>
      </c>
      <c r="P59" s="5">
        <f>P22</f>
        <v>0.93459925351834805</v>
      </c>
    </row>
    <row r="60" spans="1:16" x14ac:dyDescent="0.2">
      <c r="A60" s="5">
        <v>792</v>
      </c>
      <c r="B60" s="3">
        <f>B23/MIN($B23,$E23,$H23,$K23,$N23)</f>
        <v>1.3187331905843487</v>
      </c>
      <c r="C60" s="5">
        <f>C23</f>
        <v>124.100637435913</v>
      </c>
      <c r="D60" s="5">
        <f>D23</f>
        <v>0.97804557860555796</v>
      </c>
      <c r="E60" s="3">
        <f>E23/MIN($B23,$E23,$H23,$K23,$N23)</f>
        <v>1.0858064714937941</v>
      </c>
      <c r="F60" s="5">
        <f>F23</f>
        <v>95.898137138436098</v>
      </c>
      <c r="G60" s="5">
        <f>G23</f>
        <v>0.84458714262376</v>
      </c>
      <c r="H60" s="3">
        <f>H23/MIN($B23,$E23,$H23,$K23,$N23)</f>
        <v>1.1032826305897625</v>
      </c>
      <c r="I60" s="5">
        <f>I23</f>
        <v>98.414061454088795</v>
      </c>
      <c r="J60" s="5">
        <f>J23</f>
        <v>0.82574038392994198</v>
      </c>
      <c r="K60" s="3">
        <f>K23/MIN($B23,$E23,$H23,$K23,$N23)</f>
        <v>1</v>
      </c>
      <c r="L60" s="5">
        <f>L23</f>
        <v>96.040715047404305</v>
      </c>
      <c r="M60" s="5">
        <f>M23</f>
        <v>0.760373504261037</v>
      </c>
      <c r="N60" s="3">
        <f>N23/MIN($B23,$E23,$H23,$K23,$N23)</f>
        <v>1.1976006320786845</v>
      </c>
      <c r="O60" s="5">
        <f>O23</f>
        <v>103.851191135053</v>
      </c>
      <c r="P60" s="5">
        <f>P23</f>
        <v>0.84011543367279395</v>
      </c>
    </row>
    <row r="61" spans="1:16" x14ac:dyDescent="0.2">
      <c r="A61" s="5">
        <v>804</v>
      </c>
      <c r="B61" s="3">
        <f>B24/MIN($B24,$E24,$H24,$K24,$N24)</f>
        <v>1.1712262816614427</v>
      </c>
      <c r="C61" s="5">
        <f>C24</f>
        <v>143.32711696624699</v>
      </c>
      <c r="D61" s="5">
        <f>D24</f>
        <v>0.67226833913734496</v>
      </c>
      <c r="E61" s="3">
        <f>E24/MIN($B24,$E24,$H24,$K24,$N24)</f>
        <v>1.2269423005886952</v>
      </c>
      <c r="F61" s="5">
        <f>F24</f>
        <v>121.618919795236</v>
      </c>
      <c r="G61" s="5">
        <f>G24</f>
        <v>0.80897774369873499</v>
      </c>
      <c r="H61" s="3">
        <f>H24/MIN($B24,$E24,$H24,$K24,$N24)</f>
        <v>1</v>
      </c>
      <c r="I61" s="5">
        <f>I24</f>
        <v>129.48572636243401</v>
      </c>
      <c r="J61" s="5">
        <f>J24</f>
        <v>0.643692353512062</v>
      </c>
      <c r="K61" s="3">
        <f>K24/MIN($B24,$E24,$H24,$K24,$N24)</f>
        <v>1.1363937663015722</v>
      </c>
      <c r="L61" s="5">
        <f>L24</f>
        <v>135.167855332144</v>
      </c>
      <c r="M61" s="5">
        <f>M24</f>
        <v>0.84363730163009198</v>
      </c>
      <c r="N61" s="3">
        <f>N24/MIN($B24,$E24,$H24,$K24,$N24)</f>
        <v>1.0999593112987596</v>
      </c>
      <c r="O61" s="5">
        <f>O24</f>
        <v>134.17703317876101</v>
      </c>
      <c r="P61" s="5">
        <f>P24</f>
        <v>0.74658728029725996</v>
      </c>
    </row>
    <row r="62" spans="1:16" x14ac:dyDescent="0.2">
      <c r="A62" s="5">
        <v>812</v>
      </c>
      <c r="B62" s="3">
        <f>B25/MIN($B25,$E25,$H25,$K25,$N25)</f>
        <v>1.2287372634204778</v>
      </c>
      <c r="C62" s="5">
        <f>C25</f>
        <v>96.875482797622595</v>
      </c>
      <c r="D62" s="5">
        <f>D25</f>
        <v>2.6488140817718202</v>
      </c>
      <c r="E62" s="3">
        <f>E25/MIN($B25,$E25,$H25,$K25,$N25)</f>
        <v>1.0291814555198211</v>
      </c>
      <c r="F62" s="5">
        <f>F25</f>
        <v>87.441142348662893</v>
      </c>
      <c r="G62" s="5">
        <f>G25</f>
        <v>1.9372161433797701</v>
      </c>
      <c r="H62" s="3">
        <f>H25/MIN($B25,$E25,$H25,$K25,$N25)</f>
        <v>1.0289996217424617</v>
      </c>
      <c r="I62" s="5">
        <f>I25</f>
        <v>95.207103618512207</v>
      </c>
      <c r="J62" s="5">
        <f>J25</f>
        <v>2.0404377770370701</v>
      </c>
      <c r="K62" s="3">
        <f>K25/MIN($B25,$E25,$H25,$K25,$N25)</f>
        <v>1.1033893415445115</v>
      </c>
      <c r="L62" s="5">
        <f>L25</f>
        <v>94.137615334942595</v>
      </c>
      <c r="M62" s="5">
        <f>M25</f>
        <v>2.4998422154444202</v>
      </c>
      <c r="N62" s="3">
        <f>N25/MIN($B25,$E25,$H25,$K25,$N25)</f>
        <v>1</v>
      </c>
      <c r="O62" s="5">
        <f>O25</f>
        <v>90.291767772788205</v>
      </c>
      <c r="P62" s="5">
        <f>P25</f>
        <v>1.98446320436103</v>
      </c>
    </row>
    <row r="63" spans="1:16" x14ac:dyDescent="0.2">
      <c r="A63" s="5">
        <v>816</v>
      </c>
      <c r="B63" s="3">
        <f>B26/MIN($B26,$E26,$H26,$K26,$N26)</f>
        <v>2.4555426474750361</v>
      </c>
      <c r="C63" s="5">
        <f>C26</f>
        <v>180.01823425292901</v>
      </c>
      <c r="D63" s="5">
        <f>D26</f>
        <v>0.71168249891995405</v>
      </c>
      <c r="E63" s="3">
        <f>E26/MIN($B26,$E26,$H26,$K26,$N26)</f>
        <v>1.4364599028599532</v>
      </c>
      <c r="F63" s="5">
        <f>F26</f>
        <v>163.98991841072501</v>
      </c>
      <c r="G63" s="5">
        <f>G26</f>
        <v>0.36798252511766899</v>
      </c>
      <c r="H63" s="3">
        <f>H26/MIN($B26,$E26,$H26,$K26,$N26)</f>
        <v>1.9646080903603094</v>
      </c>
      <c r="I63" s="5">
        <f>I26</f>
        <v>181.50148919627401</v>
      </c>
      <c r="J63" s="5">
        <f>J26</f>
        <v>0.57824254207157999</v>
      </c>
      <c r="K63" s="3">
        <f>K26/MIN($B26,$E26,$H26,$K26,$N26)</f>
        <v>1.2226356371885903</v>
      </c>
      <c r="L63" s="5">
        <f>L26</f>
        <v>171.832115762955</v>
      </c>
      <c r="M63" s="5">
        <f>M26</f>
        <v>0.37647829611420403</v>
      </c>
      <c r="N63" s="3">
        <f>N26/MIN($B26,$E26,$H26,$K26,$N26)</f>
        <v>1</v>
      </c>
      <c r="O63" s="5">
        <f>O26</f>
        <v>170.354364234879</v>
      </c>
      <c r="P63" s="5">
        <f>P26</f>
        <v>0.31424808040070001</v>
      </c>
    </row>
    <row r="64" spans="1:16" x14ac:dyDescent="0.2">
      <c r="A64" s="5">
        <v>822</v>
      </c>
      <c r="B64" s="3">
        <f>B27/MIN($B27,$E27,$H27,$K27,$N27)</f>
        <v>1</v>
      </c>
      <c r="C64" s="5">
        <f>C27</f>
        <v>132.507514953613</v>
      </c>
      <c r="D64" s="5">
        <f>D27</f>
        <v>0.62799430975051695</v>
      </c>
      <c r="E64" s="3">
        <f>E27/MIN($B27,$E27,$H27,$K27,$N27)</f>
        <v>1.4655918724688768</v>
      </c>
      <c r="F64" s="5">
        <f>F27</f>
        <v>117.853039235164</v>
      </c>
      <c r="G64" s="5">
        <f>G27</f>
        <v>0.73394217883056201</v>
      </c>
      <c r="H64" s="3">
        <f>H27/MIN($B27,$E27,$H27,$K27,$N27)</f>
        <v>1.2699822834325747</v>
      </c>
      <c r="I64" s="5">
        <f>I27</f>
        <v>109.47972471238501</v>
      </c>
      <c r="J64" s="5">
        <f>J27</f>
        <v>0.64424356919510195</v>
      </c>
      <c r="K64" s="3">
        <f>K27/MIN($B27,$E27,$H27,$K27,$N27)</f>
        <v>1.4340422378321551</v>
      </c>
      <c r="L64" s="5">
        <f>L27</f>
        <v>109.222200216365</v>
      </c>
      <c r="M64" s="5">
        <f>M27</f>
        <v>0.83272639268983695</v>
      </c>
      <c r="N64" s="3">
        <f>N27/MIN($B27,$E27,$H27,$K27,$N27)</f>
        <v>1.1940453957004362</v>
      </c>
      <c r="O64" s="5">
        <f>O27</f>
        <v>118.185439832746</v>
      </c>
      <c r="P64" s="5">
        <f>P27</f>
        <v>0.597081371035175</v>
      </c>
    </row>
    <row r="65" spans="1:16" x14ac:dyDescent="0.2">
      <c r="A65" s="5">
        <v>827</v>
      </c>
      <c r="B65" s="3">
        <f>B28/MIN($B28,$E28,$H28,$K28,$N28)</f>
        <v>1</v>
      </c>
      <c r="C65" s="5">
        <f>C28</f>
        <v>103.762984275817</v>
      </c>
      <c r="D65" s="5">
        <f>D28</f>
        <v>1.02993849735035</v>
      </c>
      <c r="E65" s="3">
        <f>E28/MIN($B28,$E28,$H28,$K28,$N28)</f>
        <v>1.1265382396178305</v>
      </c>
      <c r="F65" s="5">
        <f>F28</f>
        <v>103.70931982881601</v>
      </c>
      <c r="G65" s="5">
        <f>G28</f>
        <v>1.34332111269333</v>
      </c>
      <c r="H65" s="3">
        <f>H28/MIN($B28,$E28,$H28,$K28,$N28)</f>
        <v>1.0209815871431989</v>
      </c>
      <c r="I65" s="5">
        <f>I28</f>
        <v>95.788332306694898</v>
      </c>
      <c r="J65" s="5">
        <f>J28</f>
        <v>1.09531107956564</v>
      </c>
      <c r="K65" s="3">
        <f>K28/MIN($B28,$E28,$H28,$K28,$N28)</f>
        <v>1.1263894654137991</v>
      </c>
      <c r="L65" s="5">
        <f>L28</f>
        <v>121.18450771361</v>
      </c>
      <c r="M65" s="5">
        <f>M28</f>
        <v>1.2729486010553499</v>
      </c>
      <c r="N65" s="3">
        <f>N28/MIN($B28,$E28,$H28,$K28,$N28)</f>
        <v>1.0491477683675734</v>
      </c>
      <c r="O65" s="5">
        <f>O28</f>
        <v>102.779478159918</v>
      </c>
      <c r="P65" s="5">
        <f>P28</f>
        <v>1.07133548276132</v>
      </c>
    </row>
    <row r="66" spans="1:16" x14ac:dyDescent="0.2">
      <c r="A66" s="5">
        <v>838</v>
      </c>
      <c r="B66" s="3">
        <f>B29/MIN($B29,$E29,$H29,$K29,$N29)</f>
        <v>2.0640625442080989</v>
      </c>
      <c r="C66" s="5">
        <f>C29</f>
        <v>122.177636623382</v>
      </c>
      <c r="D66" s="5">
        <f>D29</f>
        <v>1.46868716325119</v>
      </c>
      <c r="E66" s="3">
        <f>E29/MIN($B29,$E29,$H29,$K29,$N29)</f>
        <v>1.4242571117946279</v>
      </c>
      <c r="F66" s="5">
        <f>F29</f>
        <v>96.573023574976304</v>
      </c>
      <c r="G66" s="5">
        <f>G29</f>
        <v>1.0686986186384599</v>
      </c>
      <c r="H66" s="3">
        <f>H29/MIN($B29,$E29,$H29,$K29,$N29)</f>
        <v>1.2063844210874906</v>
      </c>
      <c r="I66" s="5">
        <f>I29</f>
        <v>88.6040852816148</v>
      </c>
      <c r="J66" s="5">
        <f>J29</f>
        <v>0.89154628658614798</v>
      </c>
      <c r="K66" s="3">
        <f>K29/MIN($B29,$E29,$H29,$K29,$N29)</f>
        <v>1.4072771783323066</v>
      </c>
      <c r="L66" s="5">
        <f>L29</f>
        <v>95.238596715171894</v>
      </c>
      <c r="M66" s="5">
        <f>M29</f>
        <v>1.0002407185245401</v>
      </c>
      <c r="N66" s="3">
        <f>N29/MIN($B29,$E29,$H29,$K29,$N29)</f>
        <v>1</v>
      </c>
      <c r="O66" s="5">
        <f>O29</f>
        <v>79.352851065896203</v>
      </c>
      <c r="P66" s="5">
        <f>P29</f>
        <v>0.714460748348552</v>
      </c>
    </row>
    <row r="67" spans="1:16" x14ac:dyDescent="0.2">
      <c r="A67" s="5">
        <v>876</v>
      </c>
      <c r="B67" s="3">
        <f>B30/MIN($B30,$E30,$H30,$K30,$N30)</f>
        <v>22.617865695164198</v>
      </c>
      <c r="C67" s="5">
        <f>C30</f>
        <v>200</v>
      </c>
      <c r="D67" s="5">
        <f>D30</f>
        <v>1.0370521521571801</v>
      </c>
      <c r="E67" s="3">
        <f>E30/MIN($B30,$E30,$H30,$K30,$N30)</f>
        <v>8.1704291884623572</v>
      </c>
      <c r="F67" s="5">
        <f>F30</f>
        <v>200</v>
      </c>
      <c r="G67" s="5">
        <f>G30</f>
        <v>0.37462249153620603</v>
      </c>
      <c r="H67" s="3">
        <f>H30/MIN($B30,$E30,$H30,$K30,$N30)</f>
        <v>13.39723185123321</v>
      </c>
      <c r="I67" s="5">
        <f>I30</f>
        <v>200</v>
      </c>
      <c r="J67" s="5">
        <f>J30</f>
        <v>0.61427671178944898</v>
      </c>
      <c r="K67" s="3">
        <f>K30/MIN($B30,$E30,$H30,$K30,$N30)</f>
        <v>14.675301876227721</v>
      </c>
      <c r="L67" s="5">
        <f>L30</f>
        <v>200</v>
      </c>
      <c r="M67" s="5">
        <f>M30</f>
        <v>0.67287752284565505</v>
      </c>
      <c r="N67" s="3">
        <f>N30/MIN($B30,$E30,$H30,$K30,$N30)</f>
        <v>1</v>
      </c>
      <c r="O67" s="5">
        <f>O30</f>
        <v>200</v>
      </c>
      <c r="P67" s="5">
        <f>P30</f>
        <v>4.5851017479622502E-2</v>
      </c>
    </row>
    <row r="68" spans="1:16" x14ac:dyDescent="0.2">
      <c r="A68" s="5">
        <v>877</v>
      </c>
      <c r="B68" s="3">
        <f>B31/MIN($B31,$E31,$H31,$K31,$N31)</f>
        <v>1.2711560855039996</v>
      </c>
      <c r="C68" s="5">
        <f>C31</f>
        <v>172.29632139205901</v>
      </c>
      <c r="D68" s="5">
        <f>D31</f>
        <v>0.74568385450702201</v>
      </c>
      <c r="E68" s="3">
        <f>E31/MIN($B31,$E31,$H31,$K31,$N31)</f>
        <v>1.0068417047970015</v>
      </c>
      <c r="F68" s="5">
        <f>F31</f>
        <v>166.113674015681</v>
      </c>
      <c r="G68" s="5">
        <f>G31</f>
        <v>0.497582408090738</v>
      </c>
      <c r="H68" s="3">
        <f>H31/MIN($B31,$E31,$H31,$K31,$N31)</f>
        <v>1.0543873650392768</v>
      </c>
      <c r="I68" s="5">
        <f>I31</f>
        <v>173.53579769875</v>
      </c>
      <c r="J68" s="5">
        <f>J31</f>
        <v>0.644323199086411</v>
      </c>
      <c r="K68" s="3">
        <f>K31/MIN($B31,$E31,$H31,$K31,$N31)</f>
        <v>1.0242863031918539</v>
      </c>
      <c r="L68" s="5">
        <f>L31</f>
        <v>174.651259243526</v>
      </c>
      <c r="M68" s="5">
        <f>M31</f>
        <v>0.69829762289791797</v>
      </c>
      <c r="N68" s="3">
        <f>N31/MIN($B31,$E31,$H31,$K31,$N31)</f>
        <v>1</v>
      </c>
      <c r="O68" s="5">
        <f>O31</f>
        <v>169.90322470590399</v>
      </c>
      <c r="P68" s="5">
        <f>P31</f>
        <v>0.46519986128509</v>
      </c>
    </row>
    <row r="69" spans="1:16" x14ac:dyDescent="0.2">
      <c r="A69" s="5">
        <v>888</v>
      </c>
      <c r="B69" s="3">
        <f>B32/MIN($B32,$E32,$H32,$K32,$N32)</f>
        <v>1.0695124418924871</v>
      </c>
      <c r="C69" s="5">
        <f>C32</f>
        <v>107.522368431091</v>
      </c>
      <c r="D69" s="5">
        <f>D32</f>
        <v>0.60308219629898296</v>
      </c>
      <c r="E69" s="3">
        <f>E32/MIN($B32,$E32,$H32,$K32,$N32)</f>
        <v>1.0197869531780068</v>
      </c>
      <c r="F69" s="5">
        <f>F32</f>
        <v>96.403316844402696</v>
      </c>
      <c r="G69" s="5">
        <f>G32</f>
        <v>0.54947203951392798</v>
      </c>
      <c r="H69" s="3">
        <f>H32/MIN($B32,$E32,$H32,$K32,$N32)</f>
        <v>1.1283928843423268</v>
      </c>
      <c r="I69" s="5">
        <f>I32</f>
        <v>95.460755825564405</v>
      </c>
      <c r="J69" s="5">
        <f>J32</f>
        <v>0.611947178864651</v>
      </c>
      <c r="K69" s="3">
        <f>K32/MIN($B32,$E32,$H32,$K32,$N32)</f>
        <v>1</v>
      </c>
      <c r="L69" s="5">
        <f>L32</f>
        <v>91.121643610477804</v>
      </c>
      <c r="M69" s="5">
        <f>M32</f>
        <v>0.55999863157801599</v>
      </c>
      <c r="N69" s="3">
        <f>N32/MIN($B32,$E32,$H32,$K32,$N32)</f>
        <v>1.0305644692967801</v>
      </c>
      <c r="O69" s="5">
        <f>O32</f>
        <v>109.02850913534201</v>
      </c>
      <c r="P69" s="5">
        <f>P32</f>
        <v>0.47669120171617502</v>
      </c>
    </row>
    <row r="70" spans="1:16" x14ac:dyDescent="0.2">
      <c r="A70" s="5">
        <v>890</v>
      </c>
      <c r="B70" s="3">
        <f>B33/MIN($B33,$E33,$H33,$K33,$N33)</f>
        <v>1.3524648016745358</v>
      </c>
      <c r="C70" s="5">
        <f>C33</f>
        <v>77.535670995712195</v>
      </c>
      <c r="D70" s="5">
        <f>D33</f>
        <v>0.71364237195867397</v>
      </c>
      <c r="E70" s="3">
        <f>E33/MIN($B33,$E33,$H33,$K33,$N33)</f>
        <v>1.0595437272942911</v>
      </c>
      <c r="F70" s="5">
        <f>F33</f>
        <v>62.753118508957797</v>
      </c>
      <c r="G70" s="5">
        <f>G33</f>
        <v>0.48869321768125001</v>
      </c>
      <c r="H70" s="3">
        <f>H33/MIN($B33,$E33,$H33,$K33,$N33)</f>
        <v>1</v>
      </c>
      <c r="I70" s="5">
        <f>I33</f>
        <v>58.350620710069599</v>
      </c>
      <c r="J70" s="5">
        <f>J33</f>
        <v>0.51852694531227495</v>
      </c>
      <c r="K70" s="3">
        <f>K33/MIN($B33,$E33,$H33,$K33,$N33)</f>
        <v>1.5698173192607074</v>
      </c>
      <c r="L70" s="5">
        <f>L33</f>
        <v>93.734227059425095</v>
      </c>
      <c r="M70" s="5">
        <f>M33</f>
        <v>0.76118946819715905</v>
      </c>
      <c r="N70" s="3">
        <f>N33/MIN($B33,$E33,$H33,$K33,$N33)</f>
        <v>1.263870940864203</v>
      </c>
      <c r="O70" s="5">
        <f>O33</f>
        <v>83.331820605311904</v>
      </c>
      <c r="P70" s="5">
        <f>P33</f>
        <v>0.61080294969931004</v>
      </c>
    </row>
    <row r="71" spans="1:16" ht="85" x14ac:dyDescent="0.2">
      <c r="A71" s="11" t="s">
        <v>81</v>
      </c>
      <c r="B71" s="12">
        <f>AVERAGE(B39:B70)</f>
        <v>2.2548856284533429</v>
      </c>
      <c r="C71" s="13">
        <f t="shared" ref="C71:P71" si="2">AVERAGE(C39:C70)</f>
        <v>134.43915061652623</v>
      </c>
      <c r="D71" s="13">
        <f t="shared" si="2"/>
        <v>0.94711662088727289</v>
      </c>
      <c r="E71" s="12">
        <f t="shared" si="2"/>
        <v>1.3321474199274206</v>
      </c>
      <c r="F71" s="13">
        <f t="shared" si="2"/>
        <v>122.5762731622614</v>
      </c>
      <c r="G71" s="13">
        <f t="shared" si="2"/>
        <v>0.73957392432502678</v>
      </c>
      <c r="H71" s="12">
        <f t="shared" si="2"/>
        <v>1.5861147283310377</v>
      </c>
      <c r="I71" s="13">
        <f t="shared" si="2"/>
        <v>123.36967523093787</v>
      </c>
      <c r="J71" s="13">
        <f t="shared" si="2"/>
        <v>0.75472342434415296</v>
      </c>
      <c r="K71" s="12">
        <f t="shared" si="2"/>
        <v>1.641090853969859</v>
      </c>
      <c r="L71" s="13">
        <f t="shared" si="2"/>
        <v>126.89105649648354</v>
      </c>
      <c r="M71" s="13">
        <f t="shared" si="2"/>
        <v>0.85434179113920861</v>
      </c>
      <c r="N71" s="12">
        <f t="shared" si="2"/>
        <v>1.1240278524512797</v>
      </c>
      <c r="O71" s="13">
        <f t="shared" si="2"/>
        <v>125.60649437269532</v>
      </c>
      <c r="P71" s="13">
        <f t="shared" si="2"/>
        <v>0.68372081661205053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69352-5ACB-3048-9D66-64EEE311D5C8}">
  <dimension ref="A1:R71"/>
  <sheetViews>
    <sheetView workbookViewId="0">
      <selection activeCell="E46" sqref="E46"/>
    </sheetView>
  </sheetViews>
  <sheetFormatPr baseColWidth="10" defaultRowHeight="16" x14ac:dyDescent="0.2"/>
  <cols>
    <col min="1" max="1" width="16.1640625" customWidth="1"/>
    <col min="2" max="2" width="12.1640625" style="3" bestFit="1" customWidth="1"/>
    <col min="3" max="3" width="12.1640625" bestFit="1" customWidth="1"/>
    <col min="4" max="4" width="11.1640625" bestFit="1" customWidth="1"/>
    <col min="5" max="5" width="12.1640625" style="3" bestFit="1" customWidth="1"/>
    <col min="6" max="7" width="12.1640625" bestFit="1" customWidth="1"/>
    <col min="8" max="8" width="11.1640625" style="3" bestFit="1" customWidth="1"/>
    <col min="9" max="10" width="12.1640625" bestFit="1" customWidth="1"/>
    <col min="11" max="11" width="12.1640625" style="3" bestFit="1" customWidth="1"/>
    <col min="12" max="12" width="14" customWidth="1"/>
    <col min="13" max="13" width="12.1640625" bestFit="1" customWidth="1"/>
    <col min="14" max="14" width="12.1640625" style="3" bestFit="1" customWidth="1"/>
    <col min="15" max="16" width="12.1640625" bestFit="1" customWidth="1"/>
    <col min="18" max="18" width="32.6640625" customWidth="1"/>
  </cols>
  <sheetData>
    <row r="1" spans="1:18" s="1" customFormat="1" ht="41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R1" s="1" t="s">
        <v>16</v>
      </c>
    </row>
    <row r="2" spans="1:18" x14ac:dyDescent="0.2">
      <c r="A2">
        <v>47</v>
      </c>
      <c r="B2" s="3">
        <v>6502.1082734756101</v>
      </c>
      <c r="C2">
        <v>141.82505607604901</v>
      </c>
      <c r="D2">
        <v>0.52377433026815401</v>
      </c>
      <c r="E2" s="3">
        <v>6393.2710294306698</v>
      </c>
      <c r="F2">
        <v>124.46870657701101</v>
      </c>
      <c r="G2">
        <v>0.59550928053681895</v>
      </c>
      <c r="H2" s="3">
        <v>6107.3468595711602</v>
      </c>
      <c r="I2">
        <v>129.32063190346901</v>
      </c>
      <c r="J2">
        <v>0.60134570915680596</v>
      </c>
      <c r="K2" s="3">
        <v>5865.21187180988</v>
      </c>
      <c r="L2">
        <v>125.45828288190501</v>
      </c>
      <c r="M2">
        <v>0.61193694681355804</v>
      </c>
      <c r="N2" s="3">
        <v>5229.4891966442801</v>
      </c>
      <c r="O2">
        <v>121.477538343448</v>
      </c>
      <c r="P2">
        <v>0.46250476693783099</v>
      </c>
      <c r="R2" s="4" t="s">
        <v>17</v>
      </c>
    </row>
    <row r="3" spans="1:18" x14ac:dyDescent="0.2">
      <c r="A3">
        <v>65</v>
      </c>
      <c r="B3" s="3">
        <v>2009.61762532079</v>
      </c>
      <c r="C3">
        <v>188.53594064712499</v>
      </c>
      <c r="D3">
        <v>1.35860596303286</v>
      </c>
      <c r="E3" s="3">
        <v>1327.08243076128</v>
      </c>
      <c r="F3">
        <v>179.19803551747</v>
      </c>
      <c r="G3">
        <v>0.99346582017927998</v>
      </c>
      <c r="H3" s="3">
        <v>1240.7176835397099</v>
      </c>
      <c r="I3">
        <v>170.93377958827099</v>
      </c>
      <c r="J3">
        <v>0.92423316023598101</v>
      </c>
      <c r="K3" s="3">
        <v>1311.57885535781</v>
      </c>
      <c r="L3">
        <v>175.85698308814199</v>
      </c>
      <c r="M3">
        <v>1.1768548410313999</v>
      </c>
      <c r="N3" s="3">
        <v>1404.76149134864</v>
      </c>
      <c r="O3">
        <v>197.64661469228699</v>
      </c>
      <c r="P3">
        <v>0.72592682248255502</v>
      </c>
      <c r="R3" s="4" t="s">
        <v>18</v>
      </c>
    </row>
    <row r="4" spans="1:18" x14ac:dyDescent="0.2">
      <c r="A4">
        <v>98</v>
      </c>
      <c r="B4" s="3">
        <v>4304.81776617779</v>
      </c>
      <c r="C4">
        <v>195.551395416259</v>
      </c>
      <c r="D4">
        <v>1.10884541318039</v>
      </c>
      <c r="E4" s="3">
        <v>1021.71897907121</v>
      </c>
      <c r="F4">
        <v>198.655282308875</v>
      </c>
      <c r="G4">
        <v>0.34840919764515299</v>
      </c>
      <c r="H4" s="3">
        <v>2136.3583871180599</v>
      </c>
      <c r="I4">
        <v>194.29944358525501</v>
      </c>
      <c r="J4">
        <v>0.85545480573545296</v>
      </c>
      <c r="K4" s="3">
        <v>4084.8317928145002</v>
      </c>
      <c r="L4">
        <v>195.998041800631</v>
      </c>
      <c r="M4">
        <v>1.6352824576216101</v>
      </c>
      <c r="N4" s="3">
        <v>1503.2082495633699</v>
      </c>
      <c r="O4">
        <v>194.709000769216</v>
      </c>
      <c r="P4">
        <v>0.59411238088306395</v>
      </c>
      <c r="R4" s="4" t="s">
        <v>19</v>
      </c>
    </row>
    <row r="5" spans="1:18" x14ac:dyDescent="0.2">
      <c r="A5">
        <v>114</v>
      </c>
      <c r="B5" s="3">
        <v>56484.289922065902</v>
      </c>
      <c r="C5">
        <v>65.025144815444904</v>
      </c>
      <c r="D5">
        <v>0.76114630686652296</v>
      </c>
      <c r="E5" s="3">
        <v>51838.676431848799</v>
      </c>
      <c r="F5">
        <v>52.295170773032503</v>
      </c>
      <c r="G5">
        <v>0.6589834757659</v>
      </c>
      <c r="H5" s="3">
        <v>41128.3923876056</v>
      </c>
      <c r="I5">
        <v>43.9860374627144</v>
      </c>
      <c r="J5">
        <v>0.52437797893518201</v>
      </c>
      <c r="K5" s="3">
        <v>42213.380774520097</v>
      </c>
      <c r="L5">
        <v>47.4486827513104</v>
      </c>
      <c r="M5">
        <v>0.58430793264981995</v>
      </c>
      <c r="N5" s="3">
        <v>42332.566988152103</v>
      </c>
      <c r="O5">
        <v>45.029308987584798</v>
      </c>
      <c r="P5">
        <v>0.53898757415910903</v>
      </c>
      <c r="R5" s="4" t="s">
        <v>20</v>
      </c>
    </row>
    <row r="6" spans="1:18" x14ac:dyDescent="0.2">
      <c r="A6">
        <v>123</v>
      </c>
      <c r="B6" s="3">
        <v>11898.947852646401</v>
      </c>
      <c r="C6">
        <v>143.595314025878</v>
      </c>
      <c r="D6">
        <v>1.1620315896789599</v>
      </c>
      <c r="E6" s="3">
        <v>10174.113327250299</v>
      </c>
      <c r="F6">
        <v>121.95017267975</v>
      </c>
      <c r="G6">
        <v>0.99921980378140496</v>
      </c>
      <c r="H6" s="3">
        <v>10134.1104208876</v>
      </c>
      <c r="I6">
        <v>123.901902080318</v>
      </c>
      <c r="J6">
        <v>0.975273838096131</v>
      </c>
      <c r="K6" s="3">
        <v>11261.044596219999</v>
      </c>
      <c r="L6">
        <v>138.89457424045</v>
      </c>
      <c r="M6">
        <v>1.0289115270101701</v>
      </c>
      <c r="N6" s="3">
        <v>10968.3949607739</v>
      </c>
      <c r="O6">
        <v>121.49336992745999</v>
      </c>
      <c r="P6">
        <v>0.94022971470009398</v>
      </c>
      <c r="R6" s="4" t="s">
        <v>21</v>
      </c>
    </row>
    <row r="7" spans="1:18" x14ac:dyDescent="0.2">
      <c r="A7">
        <v>168</v>
      </c>
      <c r="B7" s="3">
        <v>2590.5759012235098</v>
      </c>
      <c r="C7">
        <v>141.13180637359599</v>
      </c>
      <c r="D7">
        <v>0.97875755909034301</v>
      </c>
      <c r="E7" s="3">
        <v>3168.5763653876202</v>
      </c>
      <c r="F7">
        <v>139.36390958595899</v>
      </c>
      <c r="G7">
        <v>1.3221926509023001</v>
      </c>
      <c r="H7" s="3">
        <v>2644.0537150796799</v>
      </c>
      <c r="I7">
        <v>127.959495767785</v>
      </c>
      <c r="J7">
        <v>0.99247595024994895</v>
      </c>
      <c r="K7" s="3">
        <v>2440.9255246719799</v>
      </c>
      <c r="L7">
        <v>131.80749908410499</v>
      </c>
      <c r="M7">
        <v>1.0334399353405499</v>
      </c>
      <c r="N7" s="3">
        <v>2791.1925894333299</v>
      </c>
      <c r="O7">
        <v>135.47121043091201</v>
      </c>
      <c r="P7">
        <v>0.95276359550034595</v>
      </c>
      <c r="R7" s="4" t="s">
        <v>22</v>
      </c>
    </row>
    <row r="8" spans="1:18" x14ac:dyDescent="0.2">
      <c r="A8">
        <v>172</v>
      </c>
      <c r="B8" s="3">
        <v>10957.286890466999</v>
      </c>
      <c r="C8">
        <v>133.36322307586599</v>
      </c>
      <c r="D8">
        <v>0.89966138212612901</v>
      </c>
      <c r="E8" s="3">
        <v>9266.6779423716398</v>
      </c>
      <c r="F8">
        <v>122.744314063288</v>
      </c>
      <c r="G8">
        <v>0.78170999555890597</v>
      </c>
      <c r="H8" s="3">
        <v>8787.9743344909693</v>
      </c>
      <c r="I8">
        <v>124.47770976872199</v>
      </c>
      <c r="J8">
        <v>0.73810151605817997</v>
      </c>
      <c r="K8" s="3">
        <v>11877.213039885501</v>
      </c>
      <c r="L8">
        <v>137.31121960962199</v>
      </c>
      <c r="M8">
        <v>1.2321436908949099</v>
      </c>
      <c r="N8" s="3">
        <v>9417.1901150091908</v>
      </c>
      <c r="O8">
        <v>112.243848484873</v>
      </c>
      <c r="P8">
        <v>0.62458753157299896</v>
      </c>
      <c r="R8" s="4" t="s">
        <v>23</v>
      </c>
    </row>
    <row r="9" spans="1:18" x14ac:dyDescent="0.2">
      <c r="A9">
        <v>185</v>
      </c>
      <c r="B9" s="3">
        <v>33293.212761762697</v>
      </c>
      <c r="C9">
        <v>111.15554571151699</v>
      </c>
      <c r="D9">
        <v>0.96768896656163494</v>
      </c>
      <c r="E9" s="3">
        <v>30448.066101414901</v>
      </c>
      <c r="F9">
        <v>97.700367494684201</v>
      </c>
      <c r="G9">
        <v>0.85835183006424198</v>
      </c>
      <c r="H9" s="3">
        <v>32354.771655787499</v>
      </c>
      <c r="I9">
        <v>101.264610149226</v>
      </c>
      <c r="J9">
        <v>0.92447794374263104</v>
      </c>
      <c r="K9" s="3">
        <v>30877.161545144801</v>
      </c>
      <c r="L9">
        <v>100.13176853393701</v>
      </c>
      <c r="M9">
        <v>0.80665710440673499</v>
      </c>
      <c r="N9" s="3">
        <v>32041.402274248601</v>
      </c>
      <c r="O9">
        <v>104.47179311844999</v>
      </c>
      <c r="P9">
        <v>0.83807925196295396</v>
      </c>
      <c r="R9" s="4" t="s">
        <v>24</v>
      </c>
    </row>
    <row r="10" spans="1:18" x14ac:dyDescent="0.2">
      <c r="A10">
        <v>195</v>
      </c>
      <c r="B10" s="3">
        <v>67166.787983347793</v>
      </c>
      <c r="C10">
        <v>106.020307540893</v>
      </c>
      <c r="D10">
        <v>0.67268216078378595</v>
      </c>
      <c r="E10" s="3">
        <v>53455.934241183102</v>
      </c>
      <c r="F10">
        <v>90.783409211563495</v>
      </c>
      <c r="G10">
        <v>0.52772235836524095</v>
      </c>
      <c r="H10" s="3">
        <v>53035.603365161704</v>
      </c>
      <c r="I10">
        <v>99.820556942447794</v>
      </c>
      <c r="J10">
        <v>0.51800994807185796</v>
      </c>
      <c r="K10" s="3">
        <v>64620.365427252298</v>
      </c>
      <c r="L10">
        <v>99.450296385815193</v>
      </c>
      <c r="M10">
        <v>0.66766398432905005</v>
      </c>
      <c r="N10" s="3">
        <v>57171.526530164097</v>
      </c>
      <c r="O10">
        <v>100.820027533005</v>
      </c>
      <c r="P10">
        <v>0.57251485265714197</v>
      </c>
      <c r="R10" s="4" t="s">
        <v>25</v>
      </c>
    </row>
    <row r="11" spans="1:18" x14ac:dyDescent="0.2">
      <c r="A11">
        <v>197</v>
      </c>
      <c r="B11" s="3">
        <v>11219.9130121405</v>
      </c>
      <c r="C11">
        <v>132.137072086334</v>
      </c>
      <c r="D11">
        <v>0.66455254886106196</v>
      </c>
      <c r="E11" s="3">
        <v>12811.7953336884</v>
      </c>
      <c r="F11">
        <v>139.818165296465</v>
      </c>
      <c r="G11">
        <v>0.83446832872863996</v>
      </c>
      <c r="H11" s="3">
        <v>12224.524382878401</v>
      </c>
      <c r="I11">
        <v>142.062976271911</v>
      </c>
      <c r="J11">
        <v>0.85788538539814996</v>
      </c>
      <c r="K11" s="3">
        <v>11675.916718607201</v>
      </c>
      <c r="L11">
        <v>142.33942970147501</v>
      </c>
      <c r="M11">
        <v>0.72612560427663198</v>
      </c>
      <c r="N11" s="3">
        <v>13925.698898885999</v>
      </c>
      <c r="O11">
        <v>137.82470807673701</v>
      </c>
      <c r="P11">
        <v>0.68449823129500398</v>
      </c>
      <c r="R11" s="4" t="s">
        <v>26</v>
      </c>
    </row>
    <row r="12" spans="1:18" x14ac:dyDescent="0.2">
      <c r="A12">
        <v>237</v>
      </c>
      <c r="B12" s="3">
        <v>24884.668372313099</v>
      </c>
      <c r="C12">
        <v>121.237921714782</v>
      </c>
      <c r="D12">
        <v>0.58930918871875104</v>
      </c>
      <c r="E12" s="3">
        <v>23288.611136801301</v>
      </c>
      <c r="F12">
        <v>125.235767098729</v>
      </c>
      <c r="G12">
        <v>0.54339941350544196</v>
      </c>
      <c r="H12" s="3">
        <v>21220.839184236898</v>
      </c>
      <c r="I12">
        <v>120.979196432751</v>
      </c>
      <c r="J12">
        <v>0.60387951004137996</v>
      </c>
      <c r="K12" s="3">
        <v>21809.710766164299</v>
      </c>
      <c r="L12">
        <v>117.614940682973</v>
      </c>
      <c r="M12">
        <v>0.59034489664981504</v>
      </c>
      <c r="N12" s="3">
        <v>21027.627508498299</v>
      </c>
      <c r="O12">
        <v>111.362411431624</v>
      </c>
      <c r="P12">
        <v>0.50170294301527096</v>
      </c>
      <c r="R12" s="4" t="s">
        <v>27</v>
      </c>
    </row>
    <row r="13" spans="1:18" x14ac:dyDescent="0.2">
      <c r="A13">
        <v>272</v>
      </c>
      <c r="B13" s="3">
        <v>2460.4756653948002</v>
      </c>
      <c r="C13">
        <v>155.645835399627</v>
      </c>
      <c r="D13">
        <v>1.19338373981614</v>
      </c>
      <c r="E13" s="3">
        <v>1535.5831462210599</v>
      </c>
      <c r="F13">
        <v>145.14119736861201</v>
      </c>
      <c r="G13">
        <v>0.84864270259796903</v>
      </c>
      <c r="H13" s="3">
        <v>1495.2259608847401</v>
      </c>
      <c r="I13">
        <v>140.840862253522</v>
      </c>
      <c r="J13">
        <v>0.72446785413619497</v>
      </c>
      <c r="K13" s="3">
        <v>1538.29828850326</v>
      </c>
      <c r="L13">
        <v>153.774823820503</v>
      </c>
      <c r="M13">
        <v>0.99825910762558201</v>
      </c>
      <c r="N13" s="3">
        <v>1525.28908157296</v>
      </c>
      <c r="O13">
        <v>141.40238319736301</v>
      </c>
      <c r="P13">
        <v>0.70167133483855204</v>
      </c>
      <c r="R13" s="4" t="s">
        <v>28</v>
      </c>
    </row>
    <row r="14" spans="1:18" x14ac:dyDescent="0.2">
      <c r="A14">
        <v>279</v>
      </c>
      <c r="B14" s="3">
        <v>75312.079880985897</v>
      </c>
      <c r="C14">
        <v>124.41477775573701</v>
      </c>
      <c r="D14">
        <v>0.96692574145311705</v>
      </c>
      <c r="E14" s="3">
        <v>34499.568050340204</v>
      </c>
      <c r="F14">
        <v>91.364041413681093</v>
      </c>
      <c r="G14">
        <v>0.57707656543660402</v>
      </c>
      <c r="H14" s="3">
        <v>35543.054357327797</v>
      </c>
      <c r="I14">
        <v>97.0867344656006</v>
      </c>
      <c r="J14">
        <v>0.58467445173435295</v>
      </c>
      <c r="K14" s="3">
        <v>52608.0274972814</v>
      </c>
      <c r="L14">
        <v>116.652611254585</v>
      </c>
      <c r="M14">
        <v>0.89038370724149796</v>
      </c>
      <c r="N14" s="3">
        <v>48557.608367462199</v>
      </c>
      <c r="O14">
        <v>102.630025565149</v>
      </c>
      <c r="P14">
        <v>0.72144054346116604</v>
      </c>
      <c r="R14" s="4" t="s">
        <v>29</v>
      </c>
    </row>
    <row r="15" spans="1:18" x14ac:dyDescent="0.2">
      <c r="A15">
        <v>709</v>
      </c>
      <c r="B15" s="3">
        <v>1483.07653207782</v>
      </c>
      <c r="C15">
        <v>144.41032409667901</v>
      </c>
      <c r="D15">
        <v>2.8219746937134201E-2</v>
      </c>
      <c r="E15" s="3">
        <v>857.36758722324896</v>
      </c>
      <c r="F15">
        <v>183.67090019803399</v>
      </c>
      <c r="G15">
        <v>1.2730766131148199E-2</v>
      </c>
      <c r="H15" s="3">
        <v>2493.0472691339</v>
      </c>
      <c r="I15">
        <v>166.29114354880099</v>
      </c>
      <c r="J15">
        <v>5.0950821085484703E-2</v>
      </c>
      <c r="K15" s="3">
        <v>770.42859482602296</v>
      </c>
      <c r="L15">
        <v>131.32150342776799</v>
      </c>
      <c r="M15">
        <v>1.2308138004036901E-2</v>
      </c>
      <c r="N15" s="3">
        <v>916.210002106915</v>
      </c>
      <c r="O15">
        <v>193.37938703197099</v>
      </c>
      <c r="P15">
        <v>1.4676710325721799E-2</v>
      </c>
      <c r="R15" s="4" t="s">
        <v>30</v>
      </c>
    </row>
    <row r="16" spans="1:18" x14ac:dyDescent="0.2">
      <c r="A16">
        <v>712</v>
      </c>
      <c r="B16" s="3">
        <v>3309.31971861287</v>
      </c>
      <c r="C16">
        <v>147.166073322296</v>
      </c>
      <c r="D16">
        <v>0.708067244373074</v>
      </c>
      <c r="E16" s="3">
        <v>2688.0459949615401</v>
      </c>
      <c r="F16">
        <v>129.52510133865599</v>
      </c>
      <c r="G16">
        <v>0.66111218449446796</v>
      </c>
      <c r="H16" s="3">
        <v>2565.6071556203501</v>
      </c>
      <c r="I16">
        <v>128.328632842215</v>
      </c>
      <c r="J16">
        <v>0.66810884604217102</v>
      </c>
      <c r="K16" s="3">
        <v>3280.6207702183101</v>
      </c>
      <c r="L16">
        <v>136.21648856347201</v>
      </c>
      <c r="M16">
        <v>0.96993241564879296</v>
      </c>
      <c r="N16" s="3">
        <v>2219.57078616835</v>
      </c>
      <c r="O16">
        <v>130.97282084931399</v>
      </c>
      <c r="P16">
        <v>0.57148111310801397</v>
      </c>
      <c r="R16" s="4" t="s">
        <v>31</v>
      </c>
    </row>
    <row r="17" spans="1:18" x14ac:dyDescent="0.2">
      <c r="A17">
        <v>714</v>
      </c>
      <c r="B17" s="3">
        <v>2395.4026801354298</v>
      </c>
      <c r="C17">
        <v>166.94843769073401</v>
      </c>
      <c r="D17">
        <v>0.79919383833352498</v>
      </c>
      <c r="E17" s="3">
        <v>518.87545650241896</v>
      </c>
      <c r="F17">
        <v>115.85790890621099</v>
      </c>
      <c r="G17">
        <v>0.27313364596908402</v>
      </c>
      <c r="H17" s="3">
        <v>1148.44699765523</v>
      </c>
      <c r="I17">
        <v>157.49204925599</v>
      </c>
      <c r="J17">
        <v>0.58942322629182298</v>
      </c>
      <c r="K17" s="3">
        <v>583.18640917017694</v>
      </c>
      <c r="L17">
        <v>162.46598221948699</v>
      </c>
      <c r="M17">
        <v>0.24985808580357999</v>
      </c>
      <c r="N17" s="3">
        <v>649.07464289449604</v>
      </c>
      <c r="O17">
        <v>170.29821351509199</v>
      </c>
      <c r="P17">
        <v>0.25320886632387002</v>
      </c>
      <c r="R17" s="4" t="s">
        <v>32</v>
      </c>
    </row>
    <row r="18" spans="1:18" x14ac:dyDescent="0.2">
      <c r="A18">
        <v>722</v>
      </c>
      <c r="B18" s="3">
        <v>327646.57329506701</v>
      </c>
      <c r="C18">
        <v>137.50109672546299</v>
      </c>
      <c r="D18">
        <v>1.1639450472402899</v>
      </c>
      <c r="E18" s="3">
        <v>216823.902362956</v>
      </c>
      <c r="F18">
        <v>119.58094322038301</v>
      </c>
      <c r="G18">
        <v>0.83321798769566302</v>
      </c>
      <c r="H18" s="3">
        <v>172468.468502306</v>
      </c>
      <c r="I18">
        <v>103.82297239943399</v>
      </c>
      <c r="J18">
        <v>0.61065473146832805</v>
      </c>
      <c r="K18" s="3">
        <v>208085.74011531199</v>
      </c>
      <c r="L18">
        <v>119.103848633308</v>
      </c>
      <c r="M18">
        <v>0.76545220352667298</v>
      </c>
      <c r="N18" s="3">
        <v>200858.28664774899</v>
      </c>
      <c r="O18">
        <v>110.760840372223</v>
      </c>
      <c r="P18">
        <v>0.72141989113911897</v>
      </c>
      <c r="R18" s="4" t="s">
        <v>33</v>
      </c>
    </row>
    <row r="19" spans="1:18" x14ac:dyDescent="0.2">
      <c r="A19">
        <v>724</v>
      </c>
      <c r="B19" s="3">
        <v>6802.0144075119397</v>
      </c>
      <c r="C19">
        <v>73.825699090957599</v>
      </c>
      <c r="D19">
        <v>1.02054233386516</v>
      </c>
      <c r="E19" s="3">
        <v>4993.8136231646404</v>
      </c>
      <c r="F19">
        <v>62.0953075805023</v>
      </c>
      <c r="G19">
        <v>0.76970395255276502</v>
      </c>
      <c r="H19" s="3">
        <v>4549.3967356360199</v>
      </c>
      <c r="I19">
        <v>58.535965109684597</v>
      </c>
      <c r="J19">
        <v>0.69331541600253199</v>
      </c>
      <c r="K19" s="3">
        <v>4388.12893758468</v>
      </c>
      <c r="L19">
        <v>59.775970779427098</v>
      </c>
      <c r="M19">
        <v>0.70330678751483999</v>
      </c>
      <c r="N19" s="3">
        <v>4831.7204193895795</v>
      </c>
      <c r="O19">
        <v>57.474905105477198</v>
      </c>
      <c r="P19">
        <v>0.65463480143168995</v>
      </c>
      <c r="R19" s="4" t="s">
        <v>34</v>
      </c>
    </row>
    <row r="20" spans="1:18" x14ac:dyDescent="0.2">
      <c r="A20">
        <v>749</v>
      </c>
      <c r="B20" s="3">
        <v>46741.427962782604</v>
      </c>
      <c r="C20">
        <v>125.96185207366899</v>
      </c>
      <c r="D20">
        <v>1.62269414580797</v>
      </c>
      <c r="E20" s="3">
        <v>19024.317029594898</v>
      </c>
      <c r="F20">
        <v>104.79200705662301</v>
      </c>
      <c r="G20">
        <v>0.67526558216079302</v>
      </c>
      <c r="H20" s="3">
        <v>23738.010136546101</v>
      </c>
      <c r="I20">
        <v>126.169491970152</v>
      </c>
      <c r="J20">
        <v>0.96774446629124</v>
      </c>
      <c r="K20" s="3">
        <v>22315.609553770901</v>
      </c>
      <c r="L20">
        <v>129.59972110587401</v>
      </c>
      <c r="M20">
        <v>1.01955864725828</v>
      </c>
      <c r="N20" s="3">
        <v>21678.789870286499</v>
      </c>
      <c r="O20">
        <v>120.799520382309</v>
      </c>
      <c r="P20">
        <v>0.93962230822439896</v>
      </c>
      <c r="R20" s="4" t="s">
        <v>35</v>
      </c>
    </row>
    <row r="21" spans="1:18" x14ac:dyDescent="0.2">
      <c r="A21">
        <v>777</v>
      </c>
      <c r="B21" s="3">
        <v>3779.90780310843</v>
      </c>
      <c r="C21">
        <v>157.04417228698699</v>
      </c>
      <c r="D21">
        <v>0.95997229372702397</v>
      </c>
      <c r="E21" s="3">
        <v>2559.7417961342899</v>
      </c>
      <c r="F21">
        <v>148.45549180987899</v>
      </c>
      <c r="G21">
        <v>0.83128728193778301</v>
      </c>
      <c r="H21" s="3">
        <v>3568.9718630623502</v>
      </c>
      <c r="I21">
        <v>158.28526572947399</v>
      </c>
      <c r="J21">
        <v>1.2409440991694101</v>
      </c>
      <c r="K21" s="3">
        <v>2552.5752179013598</v>
      </c>
      <c r="L21">
        <v>153.6583667511</v>
      </c>
      <c r="M21">
        <v>0.77390068225745801</v>
      </c>
      <c r="N21" s="3">
        <v>2491.93840945086</v>
      </c>
      <c r="O21">
        <v>150.24341312365499</v>
      </c>
      <c r="P21">
        <v>0.70244414164333302</v>
      </c>
      <c r="R21" s="4" t="s">
        <v>36</v>
      </c>
    </row>
    <row r="22" spans="1:18" x14ac:dyDescent="0.2">
      <c r="A22">
        <v>782</v>
      </c>
      <c r="B22" s="3">
        <v>22827.881899116201</v>
      </c>
      <c r="C22">
        <v>129.10290956497099</v>
      </c>
      <c r="D22">
        <v>0.96975752017138195</v>
      </c>
      <c r="E22" s="3">
        <v>19479.031510419802</v>
      </c>
      <c r="F22">
        <v>117.390931991899</v>
      </c>
      <c r="G22">
        <v>0.705667132586836</v>
      </c>
      <c r="H22" s="3">
        <v>20321.0687895214</v>
      </c>
      <c r="I22">
        <v>116.406096527906</v>
      </c>
      <c r="J22">
        <v>0.76682372682328503</v>
      </c>
      <c r="K22" s="3">
        <v>18954.831052294401</v>
      </c>
      <c r="L22">
        <v>124.569756539758</v>
      </c>
      <c r="M22">
        <v>0.72520215084138795</v>
      </c>
      <c r="N22" s="3">
        <v>19093.975729255901</v>
      </c>
      <c r="O22">
        <v>123.539509266598</v>
      </c>
      <c r="P22">
        <v>0.73126893894219602</v>
      </c>
      <c r="R22" s="4" t="s">
        <v>37</v>
      </c>
    </row>
    <row r="23" spans="1:18" x14ac:dyDescent="0.2">
      <c r="A23">
        <v>792</v>
      </c>
      <c r="B23" s="3">
        <v>21035.504462693501</v>
      </c>
      <c r="C23">
        <v>109.283888339996</v>
      </c>
      <c r="D23">
        <v>0.99636936141404198</v>
      </c>
      <c r="E23" s="3">
        <v>17062.984812482999</v>
      </c>
      <c r="F23">
        <v>95.898137138436098</v>
      </c>
      <c r="G23">
        <v>0.84458714262376</v>
      </c>
      <c r="H23" s="3">
        <v>17245.935626680901</v>
      </c>
      <c r="I23">
        <v>98.329369611729803</v>
      </c>
      <c r="J23">
        <v>0.82320424877800502</v>
      </c>
      <c r="K23" s="3">
        <v>19191.8926128329</v>
      </c>
      <c r="L23">
        <v>96.564880902350296</v>
      </c>
      <c r="M23">
        <v>0.95298806760787602</v>
      </c>
      <c r="N23" s="3">
        <v>18413.802847070001</v>
      </c>
      <c r="O23">
        <v>96.387736844320699</v>
      </c>
      <c r="P23">
        <v>0.90430600860733001</v>
      </c>
      <c r="R23" s="4" t="s">
        <v>19</v>
      </c>
    </row>
    <row r="24" spans="1:18" s="23" customFormat="1" x14ac:dyDescent="0.2">
      <c r="A24" s="6">
        <v>804</v>
      </c>
      <c r="B24" s="8">
        <v>6889.5622502449296</v>
      </c>
      <c r="C24" s="6">
        <v>140.08946418762201</v>
      </c>
      <c r="D24" s="6">
        <v>0.73184372501942596</v>
      </c>
      <c r="E24" s="8">
        <v>6392.3527955814998</v>
      </c>
      <c r="F24" s="6">
        <v>121.618919795236</v>
      </c>
      <c r="G24" s="6">
        <v>0.80897774369873499</v>
      </c>
      <c r="H24" s="8">
        <v>5258.3188737788096</v>
      </c>
      <c r="I24" s="6">
        <v>133.985815077734</v>
      </c>
      <c r="J24" s="6">
        <v>0.68878039174974004</v>
      </c>
      <c r="K24" s="8">
        <v>6665.0171587539298</v>
      </c>
      <c r="L24" s="6">
        <v>140.710445210796</v>
      </c>
      <c r="M24" s="6">
        <v>0.95646435589568501</v>
      </c>
      <c r="N24" s="8">
        <v>5706.90486326675</v>
      </c>
      <c r="O24" s="6">
        <v>130.98555995395901</v>
      </c>
      <c r="P24" s="6">
        <v>0.70791839876472096</v>
      </c>
      <c r="R24" s="27" t="s">
        <v>38</v>
      </c>
    </row>
    <row r="25" spans="1:18" s="23" customFormat="1" x14ac:dyDescent="0.2">
      <c r="A25" s="6">
        <v>812</v>
      </c>
      <c r="B25" s="8">
        <v>26013.117921541001</v>
      </c>
      <c r="C25" s="6">
        <v>90.255808830261202</v>
      </c>
      <c r="D25" s="6">
        <v>2.0330079166383999</v>
      </c>
      <c r="E25" s="8">
        <v>25246.989055296301</v>
      </c>
      <c r="F25" s="6">
        <v>87.441142348662893</v>
      </c>
      <c r="G25" s="6">
        <v>1.9372161433797701</v>
      </c>
      <c r="H25" s="8">
        <v>25547.696097603199</v>
      </c>
      <c r="I25" s="6">
        <v>97.613275927869495</v>
      </c>
      <c r="J25" s="6">
        <v>2.1095728865167001</v>
      </c>
      <c r="K25" s="8">
        <v>23818.628723098602</v>
      </c>
      <c r="L25" s="6">
        <v>93.856954157155101</v>
      </c>
      <c r="M25" s="6">
        <v>2.2367761178120502</v>
      </c>
      <c r="N25" s="8">
        <v>25206.057760924501</v>
      </c>
      <c r="O25" s="6">
        <v>85.156563281496503</v>
      </c>
      <c r="P25" s="6">
        <v>1.76146216395483</v>
      </c>
      <c r="R25" s="27" t="s">
        <v>39</v>
      </c>
    </row>
    <row r="26" spans="1:18" x14ac:dyDescent="0.2">
      <c r="A26">
        <v>816</v>
      </c>
      <c r="B26" s="3">
        <v>2466.8560963299001</v>
      </c>
      <c r="C26">
        <v>172.14577198028499</v>
      </c>
      <c r="D26">
        <v>0.185988866541549</v>
      </c>
      <c r="E26" s="3">
        <v>5744.0279621826703</v>
      </c>
      <c r="F26">
        <v>163.98991841072501</v>
      </c>
      <c r="G26">
        <v>0.36798252511766899</v>
      </c>
      <c r="H26" s="3">
        <v>7594.5889686457003</v>
      </c>
      <c r="I26">
        <v>181.09411528911099</v>
      </c>
      <c r="J26">
        <v>0.64543248634080597</v>
      </c>
      <c r="K26" s="3">
        <v>3786.63717530334</v>
      </c>
      <c r="L26">
        <v>167.586631128899</v>
      </c>
      <c r="M26">
        <v>0.28694989109734198</v>
      </c>
      <c r="N26" s="3">
        <v>2554.2024569812702</v>
      </c>
      <c r="O26">
        <v>164.41507399393399</v>
      </c>
      <c r="P26">
        <v>0.20007873527068201</v>
      </c>
      <c r="R26" s="4" t="s">
        <v>40</v>
      </c>
    </row>
    <row r="27" spans="1:18" x14ac:dyDescent="0.2">
      <c r="A27">
        <v>822</v>
      </c>
      <c r="B27" s="3">
        <v>30691.246960656299</v>
      </c>
      <c r="C27">
        <v>140.29135704040499</v>
      </c>
      <c r="D27">
        <v>0.89993200542015706</v>
      </c>
      <c r="E27" s="3">
        <v>27464.9795929213</v>
      </c>
      <c r="F27">
        <v>117.853039235164</v>
      </c>
      <c r="G27">
        <v>0.73394217883056201</v>
      </c>
      <c r="H27" s="3">
        <v>19744.607833340098</v>
      </c>
      <c r="I27">
        <v>103.77227401684</v>
      </c>
      <c r="J27">
        <v>0.58149500335314996</v>
      </c>
      <c r="K27" s="3">
        <v>23171.407896235702</v>
      </c>
      <c r="L27">
        <v>108.70958726456099</v>
      </c>
      <c r="M27">
        <v>0.75807986195414001</v>
      </c>
      <c r="N27" s="3">
        <v>20708.813331847301</v>
      </c>
      <c r="O27">
        <v>115.732668067289</v>
      </c>
      <c r="P27">
        <v>0.60596553493891503</v>
      </c>
      <c r="R27" s="4" t="s">
        <v>41</v>
      </c>
    </row>
    <row r="28" spans="1:18" x14ac:dyDescent="0.2">
      <c r="A28">
        <v>827</v>
      </c>
      <c r="B28" s="3">
        <v>73143.565567997794</v>
      </c>
      <c r="C28">
        <v>122.90382385253901</v>
      </c>
      <c r="D28">
        <v>1.1098483437470901</v>
      </c>
      <c r="E28" s="3">
        <v>82190.067771210102</v>
      </c>
      <c r="F28">
        <v>103.70931982881601</v>
      </c>
      <c r="G28">
        <v>1.34332111269333</v>
      </c>
      <c r="H28" s="3">
        <v>76090.828821806805</v>
      </c>
      <c r="I28">
        <v>98.4686828173907</v>
      </c>
      <c r="J28">
        <v>1.14483440247046</v>
      </c>
      <c r="K28" s="3">
        <v>88808.091502534997</v>
      </c>
      <c r="L28">
        <v>119.743245539475</v>
      </c>
      <c r="M28">
        <v>1.3592362590361999</v>
      </c>
      <c r="N28" s="3">
        <v>77535.972501426804</v>
      </c>
      <c r="O28">
        <v>108.842324599645</v>
      </c>
      <c r="P28">
        <v>1.10916369344887</v>
      </c>
    </row>
    <row r="29" spans="1:18" x14ac:dyDescent="0.2">
      <c r="A29">
        <v>838</v>
      </c>
      <c r="B29" s="3">
        <v>14295.9306097924</v>
      </c>
      <c r="C29">
        <v>104.938602447509</v>
      </c>
      <c r="D29">
        <v>1.2481959083387899</v>
      </c>
      <c r="E29" s="3">
        <v>10118.810978817801</v>
      </c>
      <c r="F29">
        <v>96.573023574976304</v>
      </c>
      <c r="G29">
        <v>1.0686986186384599</v>
      </c>
      <c r="H29" s="3">
        <v>8346.4045785056405</v>
      </c>
      <c r="I29">
        <v>88.939087762252598</v>
      </c>
      <c r="J29">
        <v>0.86279609645402</v>
      </c>
      <c r="K29" s="3">
        <v>11638.582676075999</v>
      </c>
      <c r="L29">
        <v>91.172246329009397</v>
      </c>
      <c r="M29">
        <v>1.1326102868371699</v>
      </c>
      <c r="N29" s="3">
        <v>7936.7262672209999</v>
      </c>
      <c r="O29">
        <v>90.7274158671907</v>
      </c>
      <c r="P29">
        <v>0.77701732073623897</v>
      </c>
    </row>
    <row r="30" spans="1:18" x14ac:dyDescent="0.2">
      <c r="A30">
        <v>876</v>
      </c>
      <c r="B30" s="3">
        <v>5809.7796860121898</v>
      </c>
      <c r="C30">
        <v>200</v>
      </c>
      <c r="D30">
        <v>1.12339852135689</v>
      </c>
      <c r="E30" s="3">
        <v>1937.40167626628</v>
      </c>
      <c r="F30">
        <v>200</v>
      </c>
      <c r="G30">
        <v>0.37462249153620603</v>
      </c>
      <c r="H30" s="3">
        <v>1870.25</v>
      </c>
      <c r="I30">
        <v>200</v>
      </c>
      <c r="J30">
        <v>0.36163781800057199</v>
      </c>
      <c r="K30" s="3">
        <v>2806.40211002259</v>
      </c>
      <c r="L30">
        <v>200</v>
      </c>
      <c r="M30">
        <v>0.542655332442599</v>
      </c>
      <c r="N30" s="3">
        <v>1680.09069824218</v>
      </c>
      <c r="O30">
        <v>200</v>
      </c>
      <c r="P30">
        <v>0.32486797709149101</v>
      </c>
    </row>
    <row r="31" spans="1:18" x14ac:dyDescent="0.2">
      <c r="A31">
        <v>877</v>
      </c>
      <c r="B31" s="3">
        <v>1930.60709363661</v>
      </c>
      <c r="C31">
        <v>183.327114582061</v>
      </c>
      <c r="D31">
        <v>0.67408566730150699</v>
      </c>
      <c r="E31" s="3">
        <v>1979.0465472251301</v>
      </c>
      <c r="F31">
        <v>166.113674015681</v>
      </c>
      <c r="G31">
        <v>0.497582408090738</v>
      </c>
      <c r="H31" s="3">
        <v>2086.9138372184998</v>
      </c>
      <c r="I31">
        <v>173.22422269380499</v>
      </c>
      <c r="J31">
        <v>0.64631084403592598</v>
      </c>
      <c r="K31" s="3">
        <v>1958.6899838361601</v>
      </c>
      <c r="L31">
        <v>170.20657624537299</v>
      </c>
      <c r="M31">
        <v>0.53965923608578104</v>
      </c>
      <c r="N31" s="3">
        <v>2061.72744664734</v>
      </c>
      <c r="O31">
        <v>165.68488743064401</v>
      </c>
      <c r="P31">
        <v>0.38997610881886302</v>
      </c>
    </row>
    <row r="32" spans="1:18" x14ac:dyDescent="0.2">
      <c r="A32">
        <v>888</v>
      </c>
      <c r="B32" s="3">
        <v>5480.6121920821897</v>
      </c>
      <c r="C32">
        <v>120.319199562072</v>
      </c>
      <c r="D32">
        <v>0.63667458664003096</v>
      </c>
      <c r="E32" s="3">
        <v>5036.2184129450998</v>
      </c>
      <c r="F32">
        <v>96.403316844402696</v>
      </c>
      <c r="G32">
        <v>0.54947203951392798</v>
      </c>
      <c r="H32" s="3">
        <v>5184.5612669656002</v>
      </c>
      <c r="I32">
        <v>98.035448749203297</v>
      </c>
      <c r="J32">
        <v>0.58283932931695903</v>
      </c>
      <c r="K32" s="3">
        <v>5145.7232402129903</v>
      </c>
      <c r="L32">
        <v>94.187926329353701</v>
      </c>
      <c r="M32">
        <v>0.59621938006617903</v>
      </c>
      <c r="N32" s="3">
        <v>5648.5046812574001</v>
      </c>
      <c r="O32">
        <v>137.75169946749699</v>
      </c>
      <c r="P32">
        <v>0.59918463596526195</v>
      </c>
    </row>
    <row r="33" spans="1:16" x14ac:dyDescent="0.2">
      <c r="A33">
        <v>890</v>
      </c>
      <c r="B33" s="3">
        <v>9593.6904265251305</v>
      </c>
      <c r="C33">
        <v>70.2698171138763</v>
      </c>
      <c r="D33">
        <v>0.77062701811534395</v>
      </c>
      <c r="E33" s="3">
        <v>6860.7628469527199</v>
      </c>
      <c r="F33">
        <v>62.753118508957797</v>
      </c>
      <c r="G33">
        <v>0.48869321768125001</v>
      </c>
      <c r="H33" s="3">
        <v>5826.1639311652998</v>
      </c>
      <c r="I33">
        <v>48.055473656060002</v>
      </c>
      <c r="J33">
        <v>0.45195334421345701</v>
      </c>
      <c r="K33" s="3">
        <v>8324.8934575963394</v>
      </c>
      <c r="L33">
        <v>67.731018213487999</v>
      </c>
      <c r="M33">
        <v>0.61068546081678698</v>
      </c>
      <c r="N33" s="3">
        <v>7858.5828497319499</v>
      </c>
      <c r="O33">
        <v>78.336934189426799</v>
      </c>
      <c r="P33">
        <v>0.58337423528280596</v>
      </c>
    </row>
    <row r="34" spans="1:16" ht="64" customHeight="1" x14ac:dyDescent="0.2">
      <c r="A34" s="2" t="s">
        <v>81</v>
      </c>
      <c r="B34" s="3">
        <f t="shared" ref="B34:J34" si="0">AVERAGE(B2:B33)</f>
        <v>28794.401858538928</v>
      </c>
      <c r="C34" s="3">
        <f t="shared" si="0"/>
        <v>134.23202354460909</v>
      </c>
      <c r="D34" s="3">
        <f t="shared" si="0"/>
        <v>0.9228040306695825</v>
      </c>
      <c r="E34" s="3">
        <f t="shared" si="0"/>
        <v>21756.51288526904</v>
      </c>
      <c r="F34" s="3">
        <f t="shared" si="0"/>
        <v>122.5762731622614</v>
      </c>
      <c r="G34" s="3">
        <f t="shared" si="0"/>
        <v>0.73957392432502678</v>
      </c>
      <c r="H34" s="3">
        <f t="shared" si="0"/>
        <v>19803.195624367556</v>
      </c>
      <c r="I34" s="3">
        <f t="shared" si="0"/>
        <v>123.55572873930143</v>
      </c>
      <c r="J34" s="3">
        <f t="shared" si="0"/>
        <v>0.75973375737488491</v>
      </c>
      <c r="K34" s="3">
        <f>AVERAGE(K2:K33)</f>
        <v>22450.961058931698</v>
      </c>
      <c r="L34" s="3">
        <f t="shared" ref="L34:P34" si="1">AVERAGE(L2:L33)</f>
        <v>126.56000947425338</v>
      </c>
      <c r="M34" s="3">
        <f t="shared" si="1"/>
        <v>0.84919234676244348</v>
      </c>
      <c r="N34" s="3">
        <f t="shared" si="1"/>
        <v>21123.340889489846</v>
      </c>
      <c r="O34" s="3">
        <f t="shared" si="1"/>
        <v>126.81474105937971</v>
      </c>
      <c r="P34" s="3">
        <f t="shared" si="1"/>
        <v>0.66909659773388874</v>
      </c>
    </row>
    <row r="37" spans="1:16" x14ac:dyDescent="0.2">
      <c r="A37" t="s">
        <v>82</v>
      </c>
    </row>
    <row r="38" spans="1:16" s="1" customFormat="1" ht="37" customHeight="1" x14ac:dyDescent="0.2">
      <c r="A38" s="26" t="s">
        <v>0</v>
      </c>
      <c r="B38" s="11" t="s">
        <v>1</v>
      </c>
      <c r="C38" s="26" t="s">
        <v>2</v>
      </c>
      <c r="D38" s="26" t="s">
        <v>3</v>
      </c>
      <c r="E38" s="11" t="s">
        <v>4</v>
      </c>
      <c r="F38" s="26" t="s">
        <v>5</v>
      </c>
      <c r="G38" s="26" t="s">
        <v>6</v>
      </c>
      <c r="H38" s="11" t="s">
        <v>7</v>
      </c>
      <c r="I38" s="26" t="s">
        <v>8</v>
      </c>
      <c r="J38" s="26" t="s">
        <v>9</v>
      </c>
      <c r="K38" s="11" t="s">
        <v>10</v>
      </c>
      <c r="L38" s="26" t="s">
        <v>11</v>
      </c>
      <c r="M38" s="26" t="s">
        <v>12</v>
      </c>
      <c r="N38" s="11" t="s">
        <v>13</v>
      </c>
      <c r="O38" s="26" t="s">
        <v>14</v>
      </c>
      <c r="P38" s="26" t="s">
        <v>15</v>
      </c>
    </row>
    <row r="39" spans="1:16" x14ac:dyDescent="0.2">
      <c r="A39" s="5">
        <v>47</v>
      </c>
      <c r="B39" s="3">
        <f>B2/MIN($B2,$E2,$H2,$K2,$N2)</f>
        <v>1.2433543753466321</v>
      </c>
      <c r="C39" s="5">
        <f>C2</f>
        <v>141.82505607604901</v>
      </c>
      <c r="D39" s="5">
        <f>D2</f>
        <v>0.52377433026815401</v>
      </c>
      <c r="E39" s="3">
        <f>E2/MIN($B2,$E2,$H2,$K2,$N2)</f>
        <v>1.2225421621548007</v>
      </c>
      <c r="F39" s="5">
        <f>F2</f>
        <v>124.46870657701101</v>
      </c>
      <c r="G39" s="5">
        <f>G2</f>
        <v>0.59550928053681895</v>
      </c>
      <c r="H39" s="3">
        <f>H2/MIN($B2,$E2,$H2,$K2,$N2)</f>
        <v>1.1678668087678992</v>
      </c>
      <c r="I39" s="5">
        <f>I2</f>
        <v>129.32063190346901</v>
      </c>
      <c r="J39" s="5">
        <f>J2</f>
        <v>0.60134570915680596</v>
      </c>
      <c r="K39" s="3">
        <f>K2/MIN($B2,$E2,$H2,$K2,$N2)</f>
        <v>1.1215649657663578</v>
      </c>
      <c r="L39" s="5">
        <f>L2</f>
        <v>125.45828288190501</v>
      </c>
      <c r="M39" s="5">
        <f>M2</f>
        <v>0.61193694681355804</v>
      </c>
      <c r="N39" s="3">
        <f>N2/MIN($B2,$E2,$H2,$K2,$N2)</f>
        <v>1</v>
      </c>
      <c r="O39" s="5">
        <f>O2</f>
        <v>121.477538343448</v>
      </c>
      <c r="P39" s="5">
        <f>P2</f>
        <v>0.46250476693783099</v>
      </c>
    </row>
    <row r="40" spans="1:16" x14ac:dyDescent="0.2">
      <c r="A40" s="5">
        <v>65</v>
      </c>
      <c r="B40" s="3">
        <f>B3/MIN($B3,$E3,$H3,$K3,$N3)</f>
        <v>1.6197219173885264</v>
      </c>
      <c r="C40" s="5">
        <f>C3</f>
        <v>188.53594064712499</v>
      </c>
      <c r="D40" s="5">
        <f>D3</f>
        <v>1.35860596303286</v>
      </c>
      <c r="E40" s="3">
        <f>E3/MIN($B3,$E3,$H3,$K3,$N3)</f>
        <v>1.0696087017758749</v>
      </c>
      <c r="F40" s="5">
        <f>F3</f>
        <v>179.19803551747</v>
      </c>
      <c r="G40" s="5">
        <f>G3</f>
        <v>0.99346582017927998</v>
      </c>
      <c r="H40" s="3">
        <f>H3/MIN($B3,$E3,$H3,$K3,$N3)</f>
        <v>1</v>
      </c>
      <c r="I40" s="5">
        <f>I3</f>
        <v>170.93377958827099</v>
      </c>
      <c r="J40" s="5">
        <f>J3</f>
        <v>0.92423316023598101</v>
      </c>
      <c r="K40" s="3">
        <f>K3/MIN($B3,$E3,$H3,$K3,$N3)</f>
        <v>1.0571130505820925</v>
      </c>
      <c r="L40" s="5">
        <f>L3</f>
        <v>175.85698308814199</v>
      </c>
      <c r="M40" s="5">
        <f>M3</f>
        <v>1.1768548410313999</v>
      </c>
      <c r="N40" s="3">
        <f>N3/MIN($B3,$E3,$H3,$K3,$N3)</f>
        <v>1.1322168693049661</v>
      </c>
      <c r="O40" s="5">
        <f>O3</f>
        <v>197.64661469228699</v>
      </c>
      <c r="P40" s="5">
        <f>P3</f>
        <v>0.72592682248255502</v>
      </c>
    </row>
    <row r="41" spans="1:16" x14ac:dyDescent="0.2">
      <c r="A41" s="5">
        <v>98</v>
      </c>
      <c r="B41" s="3">
        <f>B4/MIN($B4,$E4,$H4,$K4,$N4)</f>
        <v>4.2133089962673189</v>
      </c>
      <c r="C41" s="5">
        <f>C4</f>
        <v>195.551395416259</v>
      </c>
      <c r="D41" s="5">
        <f>D4</f>
        <v>1.10884541318039</v>
      </c>
      <c r="E41" s="3">
        <f>E4/MIN($B4,$E4,$H4,$K4,$N4)</f>
        <v>1</v>
      </c>
      <c r="F41" s="5">
        <f>F4</f>
        <v>198.655282308875</v>
      </c>
      <c r="G41" s="5">
        <f>G4</f>
        <v>0.34840919764515299</v>
      </c>
      <c r="H41" s="3">
        <f>H4/MIN($B4,$E4,$H4,$K4,$N4)</f>
        <v>2.090945192248566</v>
      </c>
      <c r="I41" s="5">
        <f>I4</f>
        <v>194.29944358525501</v>
      </c>
      <c r="J41" s="5">
        <f>J4</f>
        <v>0.85545480573545296</v>
      </c>
      <c r="K41" s="3">
        <f>K4/MIN($B4,$E4,$H4,$K4,$N4)</f>
        <v>3.9979993290599358</v>
      </c>
      <c r="L41" s="5">
        <f>L4</f>
        <v>195.998041800631</v>
      </c>
      <c r="M41" s="5">
        <f>M4</f>
        <v>1.6352824576216101</v>
      </c>
      <c r="N41" s="3">
        <f>N4/MIN($B4,$E4,$H4,$K4,$N4)</f>
        <v>1.4712541122901093</v>
      </c>
      <c r="O41" s="5">
        <f>O4</f>
        <v>194.709000769216</v>
      </c>
      <c r="P41" s="5">
        <f>P4</f>
        <v>0.59411238088306395</v>
      </c>
    </row>
    <row r="42" spans="1:16" x14ac:dyDescent="0.2">
      <c r="A42" s="5">
        <v>114</v>
      </c>
      <c r="B42" s="3">
        <f>B5/MIN($B5,$E5,$H5,$K5,$N5)</f>
        <v>1.3733648859829477</v>
      </c>
      <c r="C42" s="5">
        <f>C5</f>
        <v>65.025144815444904</v>
      </c>
      <c r="D42" s="5">
        <f>D5</f>
        <v>0.76114630686652296</v>
      </c>
      <c r="E42" s="3">
        <f>E5/MIN($B5,$E5,$H5,$K5,$N5)</f>
        <v>1.2604109575523024</v>
      </c>
      <c r="F42" s="5">
        <f>F5</f>
        <v>52.295170773032503</v>
      </c>
      <c r="G42" s="5">
        <f>G5</f>
        <v>0.6589834757659</v>
      </c>
      <c r="H42" s="3">
        <f>H5/MIN($B5,$E5,$H5,$K5,$N5)</f>
        <v>1</v>
      </c>
      <c r="I42" s="5">
        <f>I5</f>
        <v>43.9860374627144</v>
      </c>
      <c r="J42" s="5">
        <f>J5</f>
        <v>0.52437797893518201</v>
      </c>
      <c r="K42" s="3">
        <f>K5/MIN($B5,$E5,$H5,$K5,$N5)</f>
        <v>1.0263805202179861</v>
      </c>
      <c r="L42" s="5">
        <f>L5</f>
        <v>47.4486827513104</v>
      </c>
      <c r="M42" s="5">
        <f>M5</f>
        <v>0.58430793264981995</v>
      </c>
      <c r="N42" s="3">
        <f>N5/MIN($B5,$E5,$H5,$K5,$N5)</f>
        <v>1.029278426183013</v>
      </c>
      <c r="O42" s="5">
        <f>O5</f>
        <v>45.029308987584798</v>
      </c>
      <c r="P42" s="5">
        <f>P5</f>
        <v>0.53898757415910903</v>
      </c>
    </row>
    <row r="43" spans="1:16" x14ac:dyDescent="0.2">
      <c r="A43" s="5">
        <v>123</v>
      </c>
      <c r="B43" s="3">
        <f>B6/MIN($B6,$E6,$H6,$K6,$N6)</f>
        <v>1.1741482338816105</v>
      </c>
      <c r="C43" s="5">
        <f>C6</f>
        <v>143.595314025878</v>
      </c>
      <c r="D43" s="5">
        <f>D6</f>
        <v>1.1620315896789599</v>
      </c>
      <c r="E43" s="3">
        <f>E6/MIN($B6,$E6,$H6,$K6,$N6)</f>
        <v>1.0039473525254123</v>
      </c>
      <c r="F43" s="5">
        <f>F6</f>
        <v>121.95017267975</v>
      </c>
      <c r="G43" s="5">
        <f>G6</f>
        <v>0.99921980378140496</v>
      </c>
      <c r="H43" s="3">
        <f>H6/MIN($B6,$E6,$H6,$K6,$N6)</f>
        <v>1</v>
      </c>
      <c r="I43" s="5">
        <f>I6</f>
        <v>123.901902080318</v>
      </c>
      <c r="J43" s="5">
        <f>J6</f>
        <v>0.975273838096131</v>
      </c>
      <c r="K43" s="3">
        <f>K6/MIN($B6,$E6,$H6,$K6,$N6)</f>
        <v>1.1112020817347377</v>
      </c>
      <c r="L43" s="5">
        <f>L6</f>
        <v>138.89457424045</v>
      </c>
      <c r="M43" s="5">
        <f>M6</f>
        <v>1.0289115270101701</v>
      </c>
      <c r="N43" s="3">
        <f>N6/MIN($B6,$E6,$H6,$K6,$N6)</f>
        <v>1.0823243980218273</v>
      </c>
      <c r="O43" s="5">
        <f>O6</f>
        <v>121.49336992745999</v>
      </c>
      <c r="P43" s="5">
        <f>P6</f>
        <v>0.94022971470009398</v>
      </c>
    </row>
    <row r="44" spans="1:16" x14ac:dyDescent="0.2">
      <c r="A44" s="5">
        <v>168</v>
      </c>
      <c r="B44" s="3">
        <f>B7/MIN($B7,$E7,$H7,$K7,$N7)</f>
        <v>1.0613088662636032</v>
      </c>
      <c r="C44" s="5">
        <f>C7</f>
        <v>141.13180637359599</v>
      </c>
      <c r="D44" s="5">
        <f>D7</f>
        <v>0.97875755909034301</v>
      </c>
      <c r="E44" s="3">
        <f>E7/MIN($B7,$E7,$H7,$K7,$N7)</f>
        <v>1.2981044826484103</v>
      </c>
      <c r="F44" s="5">
        <f>F7</f>
        <v>139.36390958595899</v>
      </c>
      <c r="G44" s="5">
        <f>G7</f>
        <v>1.3221926509023001</v>
      </c>
      <c r="H44" s="3">
        <f>H7/MIN($B7,$E7,$H7,$K7,$N7)</f>
        <v>1.0832176927786428</v>
      </c>
      <c r="I44" s="5">
        <f>I7</f>
        <v>127.959495767785</v>
      </c>
      <c r="J44" s="5">
        <f>J7</f>
        <v>0.99247595024994895</v>
      </c>
      <c r="K44" s="3">
        <f>K7/MIN($B7,$E7,$H7,$K7,$N7)</f>
        <v>1</v>
      </c>
      <c r="L44" s="5">
        <f>L7</f>
        <v>131.80749908410499</v>
      </c>
      <c r="M44" s="5">
        <f>M7</f>
        <v>1.0334399353405499</v>
      </c>
      <c r="N44" s="3">
        <f>N7/MIN($B7,$E7,$H7,$K7,$N7)</f>
        <v>1.1434976451436059</v>
      </c>
      <c r="O44" s="5">
        <f>O7</f>
        <v>135.47121043091201</v>
      </c>
      <c r="P44" s="5">
        <f>P7</f>
        <v>0.95276359550034595</v>
      </c>
    </row>
    <row r="45" spans="1:16" x14ac:dyDescent="0.2">
      <c r="A45" s="5">
        <v>172</v>
      </c>
      <c r="B45" s="3">
        <f>B8/MIN($B8,$E8,$H8,$K8,$N8)</f>
        <v>1.2468501242046111</v>
      </c>
      <c r="C45" s="5">
        <f>C8</f>
        <v>133.36322307586599</v>
      </c>
      <c r="D45" s="5">
        <f>D8</f>
        <v>0.89966138212612901</v>
      </c>
      <c r="E45" s="3">
        <f>E8/MIN($B8,$E8,$H8,$K8,$N8)</f>
        <v>1.0544725769170558</v>
      </c>
      <c r="F45" s="5">
        <f>F8</f>
        <v>122.744314063288</v>
      </c>
      <c r="G45" s="5">
        <f>G8</f>
        <v>0.78170999555890597</v>
      </c>
      <c r="H45" s="3">
        <f>H8/MIN($B8,$E8,$H8,$K8,$N8)</f>
        <v>1</v>
      </c>
      <c r="I45" s="5">
        <f>I8</f>
        <v>124.47770976872199</v>
      </c>
      <c r="J45" s="5">
        <f>J8</f>
        <v>0.73810151605817997</v>
      </c>
      <c r="K45" s="3">
        <f>K8/MIN($B8,$E8,$H8,$K8,$N8)</f>
        <v>1.3515302375508669</v>
      </c>
      <c r="L45" s="5">
        <f>L8</f>
        <v>137.31121960962199</v>
      </c>
      <c r="M45" s="5">
        <f>M8</f>
        <v>1.2321436908949099</v>
      </c>
      <c r="N45" s="3">
        <f>N8/MIN($B8,$E8,$H8,$K8,$N8)</f>
        <v>1.0715996379334747</v>
      </c>
      <c r="O45" s="5">
        <f>O8</f>
        <v>112.243848484873</v>
      </c>
      <c r="P45" s="5">
        <f>P8</f>
        <v>0.62458753157299896</v>
      </c>
    </row>
    <row r="46" spans="1:16" x14ac:dyDescent="0.2">
      <c r="A46" s="5">
        <v>185</v>
      </c>
      <c r="B46" s="3">
        <f>B9/MIN($B9,$E9,$H9,$K9,$N9)</f>
        <v>1.0934426065311118</v>
      </c>
      <c r="C46" s="5">
        <f>C9</f>
        <v>111.15554571151699</v>
      </c>
      <c r="D46" s="5">
        <f>D9</f>
        <v>0.96768896656163494</v>
      </c>
      <c r="E46" s="3">
        <f>E9/MIN($B9,$E9,$H9,$K9,$N9)</f>
        <v>1</v>
      </c>
      <c r="F46" s="5">
        <f>F9</f>
        <v>97.700367494684201</v>
      </c>
      <c r="G46" s="5">
        <f>G9</f>
        <v>0.85835183006424198</v>
      </c>
      <c r="H46" s="3">
        <f>H9/MIN($B9,$E9,$H9,$K9,$N9)</f>
        <v>1.0626215651273825</v>
      </c>
      <c r="I46" s="5">
        <f>I9</f>
        <v>101.264610149226</v>
      </c>
      <c r="J46" s="5">
        <f>J9</f>
        <v>0.92447794374263104</v>
      </c>
      <c r="K46" s="3">
        <f>K9/MIN($B9,$E9,$H9,$K9,$N9)</f>
        <v>1.01409269942796</v>
      </c>
      <c r="L46" s="5">
        <f>L9</f>
        <v>100.13176853393701</v>
      </c>
      <c r="M46" s="5">
        <f>M9</f>
        <v>0.80665710440673499</v>
      </c>
      <c r="N46" s="3">
        <f>N9/MIN($B9,$E9,$H9,$K9,$N9)</f>
        <v>1.0523296345825937</v>
      </c>
      <c r="O46" s="5">
        <f>O9</f>
        <v>104.47179311844999</v>
      </c>
      <c r="P46" s="5">
        <f>P9</f>
        <v>0.83807925196295396</v>
      </c>
    </row>
    <row r="47" spans="1:16" x14ac:dyDescent="0.2">
      <c r="A47" s="5">
        <v>195</v>
      </c>
      <c r="B47" s="3">
        <f>B10/MIN($B10,$E10,$H10,$K10,$N10)</f>
        <v>1.2664471359152794</v>
      </c>
      <c r="C47" s="5">
        <f>C10</f>
        <v>106.020307540893</v>
      </c>
      <c r="D47" s="5">
        <f>D10</f>
        <v>0.67268216078378595</v>
      </c>
      <c r="E47" s="3">
        <f>E10/MIN($B10,$E10,$H10,$K10,$N10)</f>
        <v>1.0079254472345176</v>
      </c>
      <c r="F47" s="5">
        <f>F10</f>
        <v>90.783409211563495</v>
      </c>
      <c r="G47" s="5">
        <f>G10</f>
        <v>0.52772235836524095</v>
      </c>
      <c r="H47" s="3">
        <f>H10/MIN($B10,$E10,$H10,$K10,$N10)</f>
        <v>1</v>
      </c>
      <c r="I47" s="5">
        <f>I10</f>
        <v>99.820556942447794</v>
      </c>
      <c r="J47" s="5">
        <f>J10</f>
        <v>0.51800994807185796</v>
      </c>
      <c r="K47" s="3">
        <f>K10/MIN($B10,$E10,$H10,$K10,$N10)</f>
        <v>1.2184336809053906</v>
      </c>
      <c r="L47" s="5">
        <f>L10</f>
        <v>99.450296385815193</v>
      </c>
      <c r="M47" s="5">
        <f>M10</f>
        <v>0.66766398432905005</v>
      </c>
      <c r="N47" s="3">
        <f>N10/MIN($B10,$E10,$H10,$K10,$N10)</f>
        <v>1.0779838995424575</v>
      </c>
      <c r="O47" s="5">
        <f>O10</f>
        <v>100.820027533005</v>
      </c>
      <c r="P47" s="5">
        <f>P10</f>
        <v>0.57251485265714197</v>
      </c>
    </row>
    <row r="48" spans="1:16" x14ac:dyDescent="0.2">
      <c r="A48" s="5">
        <v>197</v>
      </c>
      <c r="B48" s="3">
        <f>B11/MIN($B11,$E11,$H11,$K11,$N11)</f>
        <v>1</v>
      </c>
      <c r="C48" s="5">
        <f>C11</f>
        <v>132.137072086334</v>
      </c>
      <c r="D48" s="5">
        <f>D11</f>
        <v>0.66455254886106196</v>
      </c>
      <c r="E48" s="3">
        <f>E11/MIN($B11,$E11,$H11,$K11,$N11)</f>
        <v>1.1418800947766177</v>
      </c>
      <c r="F48" s="5">
        <f>F11</f>
        <v>139.818165296465</v>
      </c>
      <c r="G48" s="5">
        <f>G11</f>
        <v>0.83446832872863996</v>
      </c>
      <c r="H48" s="3">
        <f>H11/MIN($B11,$E11,$H11,$K11,$N11)</f>
        <v>1.0895382495078938</v>
      </c>
      <c r="I48" s="5">
        <f>I11</f>
        <v>142.062976271911</v>
      </c>
      <c r="J48" s="5">
        <f>J11</f>
        <v>0.85788538539814996</v>
      </c>
      <c r="K48" s="3">
        <f>K11/MIN($B11,$E11,$H11,$K11,$N11)</f>
        <v>1.0406423566718639</v>
      </c>
      <c r="L48" s="5">
        <f>L11</f>
        <v>142.33942970147501</v>
      </c>
      <c r="M48" s="5">
        <f>M11</f>
        <v>0.72612560427663198</v>
      </c>
      <c r="N48" s="3">
        <f>N11/MIN($B11,$E11,$H11,$K11,$N11)</f>
        <v>1.2411592571009868</v>
      </c>
      <c r="O48" s="5">
        <f>O11</f>
        <v>137.82470807673701</v>
      </c>
      <c r="P48" s="5">
        <f>P11</f>
        <v>0.68449823129500398</v>
      </c>
    </row>
    <row r="49" spans="1:16" x14ac:dyDescent="0.2">
      <c r="A49" s="5">
        <v>237</v>
      </c>
      <c r="B49" s="3">
        <f>B12/MIN($B12,$E12,$H12,$K12,$N12)</f>
        <v>1.1834272964106853</v>
      </c>
      <c r="C49" s="5">
        <f>C12</f>
        <v>121.237921714782</v>
      </c>
      <c r="D49" s="5">
        <f>D12</f>
        <v>0.58930918871875104</v>
      </c>
      <c r="E49" s="3">
        <f>E12/MIN($B12,$E12,$H12,$K12,$N12)</f>
        <v>1.1075244283925625</v>
      </c>
      <c r="F49" s="5">
        <f>F12</f>
        <v>125.235767098729</v>
      </c>
      <c r="G49" s="5">
        <f>G12</f>
        <v>0.54339941350544196</v>
      </c>
      <c r="H49" s="3">
        <f>H12/MIN($B12,$E12,$H12,$K12,$N12)</f>
        <v>1.0091884676795093</v>
      </c>
      <c r="I49" s="5">
        <f>I12</f>
        <v>120.979196432751</v>
      </c>
      <c r="J49" s="5">
        <f>J12</f>
        <v>0.60387951004137996</v>
      </c>
      <c r="K49" s="3">
        <f>K12/MIN($B12,$E12,$H12,$K12,$N12)</f>
        <v>1.0371931287707052</v>
      </c>
      <c r="L49" s="5">
        <f>L12</f>
        <v>117.614940682973</v>
      </c>
      <c r="M49" s="5">
        <f>M12</f>
        <v>0.59034489664981504</v>
      </c>
      <c r="N49" s="3">
        <f>N12/MIN($B12,$E12,$H12,$K12,$N12)</f>
        <v>1</v>
      </c>
      <c r="O49" s="5">
        <f>O12</f>
        <v>111.362411431624</v>
      </c>
      <c r="P49" s="5">
        <f>P12</f>
        <v>0.50170294301527096</v>
      </c>
    </row>
    <row r="50" spans="1:16" x14ac:dyDescent="0.2">
      <c r="A50" s="5">
        <v>272</v>
      </c>
      <c r="B50" s="3">
        <f>B13/MIN($B13,$E13,$H13,$K13,$N13)</f>
        <v>1.6455544043248904</v>
      </c>
      <c r="C50" s="5">
        <f>C13</f>
        <v>155.645835399627</v>
      </c>
      <c r="D50" s="5">
        <f>D13</f>
        <v>1.19338373981614</v>
      </c>
      <c r="E50" s="3">
        <f>E13/MIN($B13,$E13,$H13,$K13,$N13)</f>
        <v>1.0269906933079467</v>
      </c>
      <c r="F50" s="5">
        <f>F13</f>
        <v>145.14119736861201</v>
      </c>
      <c r="G50" s="5">
        <f>G13</f>
        <v>0.84864270259796903</v>
      </c>
      <c r="H50" s="3">
        <f>H13/MIN($B13,$E13,$H13,$K13,$N13)</f>
        <v>1</v>
      </c>
      <c r="I50" s="5">
        <f>I13</f>
        <v>140.840862253522</v>
      </c>
      <c r="J50" s="5">
        <f>J13</f>
        <v>0.72446785413619497</v>
      </c>
      <c r="K50" s="3">
        <f>K13/MIN($B13,$E13,$H13,$K13,$N13)</f>
        <v>1.0288065675324642</v>
      </c>
      <c r="L50" s="5">
        <f>L13</f>
        <v>153.774823820503</v>
      </c>
      <c r="M50" s="5">
        <f>M13</f>
        <v>0.99825910762558201</v>
      </c>
      <c r="N50" s="3">
        <f>N13/MIN($B13,$E13,$H13,$K13,$N13)</f>
        <v>1.0201060719079753</v>
      </c>
      <c r="O50" s="5">
        <f>O13</f>
        <v>141.40238319736301</v>
      </c>
      <c r="P50" s="5">
        <f>P13</f>
        <v>0.70167133483855204</v>
      </c>
    </row>
    <row r="51" spans="1:16" x14ac:dyDescent="0.2">
      <c r="A51" s="5">
        <v>279</v>
      </c>
      <c r="B51" s="3">
        <f>B14/MIN($B14,$E14,$H14,$K14,$N14)</f>
        <v>2.1829861687280818</v>
      </c>
      <c r="C51" s="5">
        <f>C14</f>
        <v>124.41477775573701</v>
      </c>
      <c r="D51" s="5">
        <f>D14</f>
        <v>0.96692574145311705</v>
      </c>
      <c r="E51" s="3">
        <f>E14/MIN($B14,$E14,$H14,$K14,$N14)</f>
        <v>1</v>
      </c>
      <c r="F51" s="5">
        <f>F14</f>
        <v>91.364041413681093</v>
      </c>
      <c r="G51" s="5">
        <f>G14</f>
        <v>0.57707656543660402</v>
      </c>
      <c r="H51" s="3">
        <f>H14/MIN($B14,$E14,$H14,$K14,$N14)</f>
        <v>1.0302463586055624</v>
      </c>
      <c r="I51" s="5">
        <f>I14</f>
        <v>97.0867344656006</v>
      </c>
      <c r="J51" s="5">
        <f>J14</f>
        <v>0.58467445173435295</v>
      </c>
      <c r="K51" s="3">
        <f>K14/MIN($B14,$E14,$H14,$K14,$N14)</f>
        <v>1.5248894542829683</v>
      </c>
      <c r="L51" s="5">
        <f>L14</f>
        <v>116.652611254585</v>
      </c>
      <c r="M51" s="5">
        <f>M14</f>
        <v>0.89038370724149796</v>
      </c>
      <c r="N51" s="3">
        <f>N14/MIN($B14,$E14,$H14,$K14,$N14)</f>
        <v>1.4074845313022222</v>
      </c>
      <c r="O51" s="5">
        <f>O14</f>
        <v>102.630025565149</v>
      </c>
      <c r="P51" s="5">
        <f>P14</f>
        <v>0.72144054346116604</v>
      </c>
    </row>
    <row r="52" spans="1:16" x14ac:dyDescent="0.2">
      <c r="A52" s="5">
        <v>709</v>
      </c>
      <c r="B52" s="3">
        <f>B15/MIN($B15,$E15,$H15,$K15,$N15)</f>
        <v>1.9250019301434758</v>
      </c>
      <c r="C52" s="5">
        <f>C15</f>
        <v>144.41032409667901</v>
      </c>
      <c r="D52" s="5">
        <f>D15</f>
        <v>2.8219746937134201E-2</v>
      </c>
      <c r="E52" s="3">
        <f>E15/MIN($B15,$E15,$H15,$K15,$N15)</f>
        <v>1.1128449709435544</v>
      </c>
      <c r="F52" s="5">
        <f>F15</f>
        <v>183.67090019803399</v>
      </c>
      <c r="G52" s="5">
        <f>G15</f>
        <v>1.2730766131148199E-2</v>
      </c>
      <c r="H52" s="3">
        <f>H15/MIN($B15,$E15,$H15,$K15,$N15)</f>
        <v>3.2359225577509569</v>
      </c>
      <c r="I52" s="5">
        <f>I15</f>
        <v>166.29114354880099</v>
      </c>
      <c r="J52" s="5">
        <f>J15</f>
        <v>5.0950821085484703E-2</v>
      </c>
      <c r="K52" s="3">
        <f>K15/MIN($B15,$E15,$H15,$K15,$N15)</f>
        <v>1</v>
      </c>
      <c r="L52" s="5">
        <f>L15</f>
        <v>131.32150342776799</v>
      </c>
      <c r="M52" s="5">
        <f>M15</f>
        <v>1.2308138004036901E-2</v>
      </c>
      <c r="N52" s="3">
        <f>N15/MIN($B15,$E15,$H15,$K15,$N15)</f>
        <v>1.1892211793019081</v>
      </c>
      <c r="O52" s="5">
        <f>O15</f>
        <v>193.37938703197099</v>
      </c>
      <c r="P52" s="5">
        <f>P15</f>
        <v>1.4676710325721799E-2</v>
      </c>
    </row>
    <row r="53" spans="1:16" x14ac:dyDescent="0.2">
      <c r="A53" s="5">
        <v>712</v>
      </c>
      <c r="B53" s="3">
        <f>B16/MIN($B16,$E16,$H16,$K16,$N16)</f>
        <v>1.4909728219687717</v>
      </c>
      <c r="C53" s="5">
        <f>C16</f>
        <v>147.166073322296</v>
      </c>
      <c r="D53" s="5">
        <f>D16</f>
        <v>0.708067244373074</v>
      </c>
      <c r="E53" s="3">
        <f>E16/MIN($B16,$E16,$H16,$K16,$N16)</f>
        <v>1.2110656761715268</v>
      </c>
      <c r="F53" s="5">
        <f>F16</f>
        <v>129.52510133865599</v>
      </c>
      <c r="G53" s="5">
        <f>G16</f>
        <v>0.66111218449446796</v>
      </c>
      <c r="H53" s="3">
        <f>H16/MIN($B16,$E16,$H16,$K16,$N16)</f>
        <v>1.1559023805901516</v>
      </c>
      <c r="I53" s="5">
        <f>I16</f>
        <v>128.328632842215</v>
      </c>
      <c r="J53" s="5">
        <f>J16</f>
        <v>0.66810884604217102</v>
      </c>
      <c r="K53" s="3">
        <f>K16/MIN($B16,$E16,$H16,$K16,$N16)</f>
        <v>1.4780428678653017</v>
      </c>
      <c r="L53" s="5">
        <f>L16</f>
        <v>136.21648856347201</v>
      </c>
      <c r="M53" s="5">
        <f>M16</f>
        <v>0.96993241564879296</v>
      </c>
      <c r="N53" s="3">
        <f>N16/MIN($B16,$E16,$H16,$K16,$N16)</f>
        <v>1</v>
      </c>
      <c r="O53" s="5">
        <f>O16</f>
        <v>130.97282084931399</v>
      </c>
      <c r="P53" s="5">
        <f>P16</f>
        <v>0.57148111310801397</v>
      </c>
    </row>
    <row r="54" spans="1:16" x14ac:dyDescent="0.2">
      <c r="A54" s="5">
        <v>714</v>
      </c>
      <c r="B54" s="3">
        <f>B17/MIN($B17,$E17,$H17,$K17,$N17)</f>
        <v>4.6165272419746115</v>
      </c>
      <c r="C54" s="5">
        <f>C17</f>
        <v>166.94843769073401</v>
      </c>
      <c r="D54" s="5">
        <f>D17</f>
        <v>0.79919383833352498</v>
      </c>
      <c r="E54" s="3">
        <f>E17/MIN($B17,$E17,$H17,$K17,$N17)</f>
        <v>1</v>
      </c>
      <c r="F54" s="5">
        <f>F17</f>
        <v>115.85790890621099</v>
      </c>
      <c r="G54" s="5">
        <f>G17</f>
        <v>0.27313364596908402</v>
      </c>
      <c r="H54" s="3">
        <f>H17/MIN($B17,$E17,$H17,$K17,$N17)</f>
        <v>2.2133384481057568</v>
      </c>
      <c r="I54" s="5">
        <f>I17</f>
        <v>157.49204925599</v>
      </c>
      <c r="J54" s="5">
        <f>J17</f>
        <v>0.58942322629182298</v>
      </c>
      <c r="K54" s="3">
        <f>K17/MIN($B17,$E17,$H17,$K17,$N17)</f>
        <v>1.1239429459648342</v>
      </c>
      <c r="L54" s="5">
        <f>L17</f>
        <v>162.46598221948699</v>
      </c>
      <c r="M54" s="5">
        <f>M17</f>
        <v>0.24985808580357999</v>
      </c>
      <c r="N54" s="3">
        <f>N17/MIN($B17,$E17,$H17,$K17,$N17)</f>
        <v>1.2509256985668777</v>
      </c>
      <c r="O54" s="5">
        <f>O17</f>
        <v>170.29821351509199</v>
      </c>
      <c r="P54" s="5">
        <f>P17</f>
        <v>0.25320886632387002</v>
      </c>
    </row>
    <row r="55" spans="1:16" x14ac:dyDescent="0.2">
      <c r="A55" s="5">
        <v>722</v>
      </c>
      <c r="B55" s="3">
        <f>B18/MIN($B18,$E18,$H18,$K18,$N18)</f>
        <v>1.8997476822303097</v>
      </c>
      <c r="C55" s="5">
        <f>C18</f>
        <v>137.50109672546299</v>
      </c>
      <c r="D55" s="5">
        <f>D18</f>
        <v>1.1639450472402899</v>
      </c>
      <c r="E55" s="3">
        <f>E18/MIN($B18,$E18,$H18,$K18,$N18)</f>
        <v>1.2571799601737459</v>
      </c>
      <c r="F55" s="5">
        <f>F18</f>
        <v>119.58094322038301</v>
      </c>
      <c r="G55" s="5">
        <f>G18</f>
        <v>0.83321798769566302</v>
      </c>
      <c r="H55" s="3">
        <f>H18/MIN($B18,$E18,$H18,$K18,$N18)</f>
        <v>1</v>
      </c>
      <c r="I55" s="5">
        <f>I18</f>
        <v>103.82297239943399</v>
      </c>
      <c r="J55" s="5">
        <f>J18</f>
        <v>0.61065473146832805</v>
      </c>
      <c r="K55" s="3">
        <f>K18/MIN($B18,$E18,$H18,$K18,$N18)</f>
        <v>1.2065146859730465</v>
      </c>
      <c r="L55" s="5">
        <f>L18</f>
        <v>119.103848633308</v>
      </c>
      <c r="M55" s="5">
        <f>M18</f>
        <v>0.76545220352667298</v>
      </c>
      <c r="N55" s="3">
        <f>N18/MIN($B18,$E18,$H18,$K18,$N18)</f>
        <v>1.1646087449606095</v>
      </c>
      <c r="O55" s="5">
        <f>O18</f>
        <v>110.760840372223</v>
      </c>
      <c r="P55" s="5">
        <f>P18</f>
        <v>0.72141989113911897</v>
      </c>
    </row>
    <row r="56" spans="1:16" x14ac:dyDescent="0.2">
      <c r="A56" s="5">
        <v>724</v>
      </c>
      <c r="B56" s="3">
        <f>B19/MIN($B19,$E19,$H19,$K19,$N19)</f>
        <v>1.5500944717581415</v>
      </c>
      <c r="C56" s="5">
        <f>C19</f>
        <v>73.825699090957599</v>
      </c>
      <c r="D56" s="5">
        <f>D19</f>
        <v>1.02054233386516</v>
      </c>
      <c r="E56" s="3">
        <f>E19/MIN($B19,$E19,$H19,$K19,$N19)</f>
        <v>1.138028005602165</v>
      </c>
      <c r="F56" s="5">
        <f>F19</f>
        <v>62.0953075805023</v>
      </c>
      <c r="G56" s="5">
        <f>G19</f>
        <v>0.76970395255276502</v>
      </c>
      <c r="H56" s="3">
        <f>H19/MIN($B19,$E19,$H19,$K19,$N19)</f>
        <v>1.0367509251312257</v>
      </c>
      <c r="I56" s="5">
        <f>I19</f>
        <v>58.535965109684597</v>
      </c>
      <c r="J56" s="5">
        <f>J19</f>
        <v>0.69331541600253199</v>
      </c>
      <c r="K56" s="3">
        <f>K19/MIN($B19,$E19,$H19,$K19,$N19)</f>
        <v>1</v>
      </c>
      <c r="L56" s="5">
        <f>L19</f>
        <v>59.775970779427098</v>
      </c>
      <c r="M56" s="5">
        <f>M19</f>
        <v>0.70330678751483999</v>
      </c>
      <c r="N56" s="3">
        <f>N19/MIN($B19,$E19,$H19,$K19,$N19)</f>
        <v>1.1010889807739017</v>
      </c>
      <c r="O56" s="5">
        <f>O19</f>
        <v>57.474905105477198</v>
      </c>
      <c r="P56" s="5">
        <f>P19</f>
        <v>0.65463480143168995</v>
      </c>
    </row>
    <row r="57" spans="1:16" x14ac:dyDescent="0.2">
      <c r="A57" s="5">
        <v>749</v>
      </c>
      <c r="B57" s="3">
        <f>B20/MIN($B20,$E20,$H20,$K20,$N20)</f>
        <v>2.456930668789318</v>
      </c>
      <c r="C57" s="5">
        <f>C20</f>
        <v>125.96185207366899</v>
      </c>
      <c r="D57" s="5">
        <f>D20</f>
        <v>1.62269414580797</v>
      </c>
      <c r="E57" s="3">
        <f>E20/MIN($B20,$E20,$H20,$K20,$N20)</f>
        <v>1</v>
      </c>
      <c r="F57" s="5">
        <f>F20</f>
        <v>104.79200705662301</v>
      </c>
      <c r="G57" s="5">
        <f>G20</f>
        <v>0.67526558216079302</v>
      </c>
      <c r="H57" s="3">
        <f>H20/MIN($B20,$E20,$H20,$K20,$N20)</f>
        <v>1.2477720014662506</v>
      </c>
      <c r="I57" s="5">
        <f>I20</f>
        <v>126.169491970152</v>
      </c>
      <c r="J57" s="5">
        <f>J20</f>
        <v>0.96774446629124</v>
      </c>
      <c r="K57" s="3">
        <f>K20/MIN($B20,$E20,$H20,$K20,$N20)</f>
        <v>1.1730045036074594</v>
      </c>
      <c r="L57" s="5">
        <f>L20</f>
        <v>129.59972110587401</v>
      </c>
      <c r="M57" s="5">
        <f>M20</f>
        <v>1.01955864725828</v>
      </c>
      <c r="N57" s="3">
        <f>N20/MIN($B20,$E20,$H20,$K20,$N20)</f>
        <v>1.1395305196271808</v>
      </c>
      <c r="O57" s="5">
        <f>O20</f>
        <v>120.799520382309</v>
      </c>
      <c r="P57" s="5">
        <f>P20</f>
        <v>0.93962230822439896</v>
      </c>
    </row>
    <row r="58" spans="1:16" x14ac:dyDescent="0.2">
      <c r="A58" s="5">
        <v>777</v>
      </c>
      <c r="B58" s="3">
        <f>B21/MIN($B21,$E21,$H21,$K21,$N21)</f>
        <v>1.5168544249620501</v>
      </c>
      <c r="C58" s="5">
        <f>C21</f>
        <v>157.04417228698699</v>
      </c>
      <c r="D58" s="5">
        <f>D21</f>
        <v>0.95997229372702397</v>
      </c>
      <c r="E58" s="3">
        <f>E21/MIN($B21,$E21,$H21,$K21,$N21)</f>
        <v>1.0272090941037229</v>
      </c>
      <c r="F58" s="5">
        <f>F21</f>
        <v>148.45549180987899</v>
      </c>
      <c r="G58" s="5">
        <f>G21</f>
        <v>0.83128728193778301</v>
      </c>
      <c r="H58" s="3">
        <f>H21/MIN($B21,$E21,$H21,$K21,$N21)</f>
        <v>1.4322070920881356</v>
      </c>
      <c r="I58" s="5">
        <f>I21</f>
        <v>158.28526572947399</v>
      </c>
      <c r="J58" s="5">
        <f>J21</f>
        <v>1.2409440991694101</v>
      </c>
      <c r="K58" s="3">
        <f>K21/MIN($B21,$E21,$H21,$K21,$N21)</f>
        <v>1.0243331890629921</v>
      </c>
      <c r="L58" s="5">
        <f>L21</f>
        <v>153.6583667511</v>
      </c>
      <c r="M58" s="5">
        <f>M21</f>
        <v>0.77390068225745801</v>
      </c>
      <c r="N58" s="3">
        <f>N21/MIN($B21,$E21,$H21,$K21,$N21)</f>
        <v>1</v>
      </c>
      <c r="O58" s="5">
        <f>O21</f>
        <v>150.24341312365499</v>
      </c>
      <c r="P58" s="5">
        <f>P21</f>
        <v>0.70244414164333302</v>
      </c>
    </row>
    <row r="59" spans="1:16" x14ac:dyDescent="0.2">
      <c r="A59" s="5">
        <v>782</v>
      </c>
      <c r="B59" s="3">
        <f>B22/MIN($B22,$E22,$H22,$K22,$N22)</f>
        <v>1.2043305390660806</v>
      </c>
      <c r="C59" s="5">
        <f>C22</f>
        <v>129.10290956497099</v>
      </c>
      <c r="D59" s="5">
        <f>D22</f>
        <v>0.96975752017138195</v>
      </c>
      <c r="E59" s="3">
        <f>E22/MIN($B22,$E22,$H22,$K22,$N22)</f>
        <v>1.0276552429657213</v>
      </c>
      <c r="F59" s="5">
        <f>F22</f>
        <v>117.390931991899</v>
      </c>
      <c r="G59" s="5">
        <f>G22</f>
        <v>0.705667132586836</v>
      </c>
      <c r="H59" s="3">
        <f>H22/MIN($B22,$E22,$H22,$K22,$N22)</f>
        <v>1.0720786027297047</v>
      </c>
      <c r="I59" s="5">
        <f>I22</f>
        <v>116.406096527906</v>
      </c>
      <c r="J59" s="5">
        <f>J22</f>
        <v>0.76682372682328503</v>
      </c>
      <c r="K59" s="3">
        <f>K22/MIN($B22,$E22,$H22,$K22,$N22)</f>
        <v>1</v>
      </c>
      <c r="L59" s="5">
        <f>L22</f>
        <v>124.569756539758</v>
      </c>
      <c r="M59" s="5">
        <f>M22</f>
        <v>0.72520215084138795</v>
      </c>
      <c r="N59" s="3">
        <f>N22/MIN($B22,$E22,$H22,$K22,$N22)</f>
        <v>1.0073408555622372</v>
      </c>
      <c r="O59" s="5">
        <f>O22</f>
        <v>123.539509266598</v>
      </c>
      <c r="P59" s="5">
        <f>P22</f>
        <v>0.73126893894219602</v>
      </c>
    </row>
    <row r="60" spans="1:16" x14ac:dyDescent="0.2">
      <c r="A60" s="5">
        <v>792</v>
      </c>
      <c r="B60" s="3">
        <f>B23/MIN($B23,$E23,$H23,$K23,$N23)</f>
        <v>1.2328150492933847</v>
      </c>
      <c r="C60" s="5">
        <f>C23</f>
        <v>109.283888339996</v>
      </c>
      <c r="D60" s="5">
        <f>D23</f>
        <v>0.99636936141404198</v>
      </c>
      <c r="E60" s="3">
        <f>E23/MIN($B23,$E23,$H23,$K23,$N23)</f>
        <v>1</v>
      </c>
      <c r="F60" s="5">
        <f>F23</f>
        <v>95.898137138436098</v>
      </c>
      <c r="G60" s="5">
        <f>G23</f>
        <v>0.84458714262376</v>
      </c>
      <c r="H60" s="3">
        <f>H23/MIN($B23,$E23,$H23,$K23,$N23)</f>
        <v>1.0107220873843865</v>
      </c>
      <c r="I60" s="5">
        <f>I23</f>
        <v>98.329369611729803</v>
      </c>
      <c r="J60" s="5">
        <f>J23</f>
        <v>0.82320424877800502</v>
      </c>
      <c r="K60" s="3">
        <f>K23/MIN($B23,$E23,$H23,$K23,$N23)</f>
        <v>1.1247676079974254</v>
      </c>
      <c r="L60" s="5">
        <f>L23</f>
        <v>96.564880902350296</v>
      </c>
      <c r="M60" s="5">
        <f>M23</f>
        <v>0.95298806760787602</v>
      </c>
      <c r="N60" s="3">
        <f>N23/MIN($B23,$E23,$H23,$K23,$N23)</f>
        <v>1.0791665731073479</v>
      </c>
      <c r="O60" s="5">
        <f>O23</f>
        <v>96.387736844320699</v>
      </c>
      <c r="P60" s="5">
        <f>P23</f>
        <v>0.90430600860733001</v>
      </c>
    </row>
    <row r="61" spans="1:16" x14ac:dyDescent="0.2">
      <c r="A61" s="28">
        <v>804</v>
      </c>
      <c r="B61" s="3">
        <f>B24/MIN($B24,$E24,$H24,$K24,$N24)</f>
        <v>1.3102214634796105</v>
      </c>
      <c r="C61" s="5">
        <f>C24</f>
        <v>140.08946418762201</v>
      </c>
      <c r="D61" s="5">
        <f>D24</f>
        <v>0.73184372501942596</v>
      </c>
      <c r="E61" s="3">
        <f>E24/MIN($B24,$E24,$H24,$K24,$N24)</f>
        <v>1.2156647303109889</v>
      </c>
      <c r="F61" s="5">
        <f>F24</f>
        <v>121.618919795236</v>
      </c>
      <c r="G61" s="5">
        <f>G24</f>
        <v>0.80897774369873499</v>
      </c>
      <c r="H61" s="3">
        <f>H24/MIN($B24,$E24,$H24,$K24,$N24)</f>
        <v>1</v>
      </c>
      <c r="I61" s="5">
        <f>I24</f>
        <v>133.985815077734</v>
      </c>
      <c r="J61" s="5">
        <f>J24</f>
        <v>0.68878039174974004</v>
      </c>
      <c r="K61" s="3">
        <f>K24/MIN($B24,$E24,$H24,$K24,$N24)</f>
        <v>1.2675186345183016</v>
      </c>
      <c r="L61" s="5">
        <f>L24</f>
        <v>140.710445210796</v>
      </c>
      <c r="M61" s="5">
        <f>M24</f>
        <v>0.95646435589568501</v>
      </c>
      <c r="N61" s="3">
        <f>N24/MIN($B24,$E24,$H24,$K24,$N24)</f>
        <v>1.085309773000809</v>
      </c>
      <c r="O61" s="5">
        <f>O24</f>
        <v>130.98555995395901</v>
      </c>
      <c r="P61" s="5">
        <f>P24</f>
        <v>0.70791839876472096</v>
      </c>
    </row>
    <row r="62" spans="1:16" x14ac:dyDescent="0.2">
      <c r="A62" s="28">
        <v>812</v>
      </c>
      <c r="B62" s="3">
        <f>B25/MIN($B25,$E25,$H25,$K25,$N25)</f>
        <v>1.0921333139684171</v>
      </c>
      <c r="C62" s="5">
        <f>C25</f>
        <v>90.255808830261202</v>
      </c>
      <c r="D62" s="5">
        <f>D25</f>
        <v>2.0330079166383999</v>
      </c>
      <c r="E62" s="3">
        <f>E25/MIN($B25,$E25,$H25,$K25,$N25)</f>
        <v>1.0599682017299559</v>
      </c>
      <c r="F62" s="5">
        <f>F25</f>
        <v>87.441142348662893</v>
      </c>
      <c r="G62" s="5">
        <f>G25</f>
        <v>1.9372161433797701</v>
      </c>
      <c r="H62" s="3">
        <f>H25/MIN($B25,$E25,$H25,$K25,$N25)</f>
        <v>1.0725930696769206</v>
      </c>
      <c r="I62" s="5">
        <f>I25</f>
        <v>97.613275927869495</v>
      </c>
      <c r="J62" s="5">
        <f>J25</f>
        <v>2.1095728865167001</v>
      </c>
      <c r="K62" s="3">
        <f>K25/MIN($B25,$E25,$H25,$K25,$N25)</f>
        <v>1</v>
      </c>
      <c r="L62" s="5">
        <f>L25</f>
        <v>93.856954157155101</v>
      </c>
      <c r="M62" s="5">
        <f>M25</f>
        <v>2.2367761178120502</v>
      </c>
      <c r="N62" s="3">
        <f>N25/MIN($B25,$E25,$H25,$K25,$N25)</f>
        <v>1.0582497445153261</v>
      </c>
      <c r="O62" s="5">
        <f>O25</f>
        <v>85.156563281496503</v>
      </c>
      <c r="P62" s="5">
        <f>P25</f>
        <v>1.76146216395483</v>
      </c>
    </row>
    <row r="63" spans="1:16" x14ac:dyDescent="0.2">
      <c r="A63" s="5">
        <v>816</v>
      </c>
      <c r="B63" s="3">
        <f>B26/MIN($B26,$E26,$H26,$K26,$N26)</f>
        <v>1</v>
      </c>
      <c r="C63" s="5">
        <f>C26</f>
        <v>172.14577198028499</v>
      </c>
      <c r="D63" s="5">
        <f>D26</f>
        <v>0.185988866541549</v>
      </c>
      <c r="E63" s="3">
        <f>E26/MIN($B26,$E26,$H26,$K26,$N26)</f>
        <v>2.3284811670727081</v>
      </c>
      <c r="F63" s="5">
        <f>F26</f>
        <v>163.98991841072501</v>
      </c>
      <c r="G63" s="5">
        <f>G26</f>
        <v>0.36798252511766899</v>
      </c>
      <c r="H63" s="3">
        <f>H26/MIN($B26,$E26,$H26,$K26,$N26)</f>
        <v>3.0786509922263634</v>
      </c>
      <c r="I63" s="5">
        <f>I26</f>
        <v>181.09411528911099</v>
      </c>
      <c r="J63" s="5">
        <f>J26</f>
        <v>0.64543248634080597</v>
      </c>
      <c r="K63" s="3">
        <f>K26/MIN($B26,$E26,$H26,$K26,$N26)</f>
        <v>1.5350052972027686</v>
      </c>
      <c r="L63" s="5">
        <f>L26</f>
        <v>167.586631128899</v>
      </c>
      <c r="M63" s="5">
        <f>M26</f>
        <v>0.28694989109734198</v>
      </c>
      <c r="N63" s="3">
        <f>N26/MIN($B26,$E26,$H26,$K26,$N26)</f>
        <v>1.0354079675670262</v>
      </c>
      <c r="O63" s="5">
        <f>O26</f>
        <v>164.41507399393399</v>
      </c>
      <c r="P63" s="5">
        <f>P26</f>
        <v>0.20007873527068201</v>
      </c>
    </row>
    <row r="64" spans="1:16" x14ac:dyDescent="0.2">
      <c r="A64" s="5">
        <v>822</v>
      </c>
      <c r="B64" s="3">
        <f>B27/MIN($B27,$E27,$H27,$K27,$N27)</f>
        <v>1.5544115750342766</v>
      </c>
      <c r="C64" s="5">
        <f>C27</f>
        <v>140.29135704040499</v>
      </c>
      <c r="D64" s="5">
        <f>D27</f>
        <v>0.89993200542015706</v>
      </c>
      <c r="E64" s="3">
        <f>E27/MIN($B27,$E27,$H27,$K27,$N27)</f>
        <v>1.3910116536498047</v>
      </c>
      <c r="F64" s="5">
        <f>F27</f>
        <v>117.853039235164</v>
      </c>
      <c r="G64" s="5">
        <f>G27</f>
        <v>0.73394217883056201</v>
      </c>
      <c r="H64" s="3">
        <f>H27/MIN($B27,$E27,$H27,$K27,$N27)</f>
        <v>1</v>
      </c>
      <c r="I64" s="5">
        <f>I27</f>
        <v>103.77227401684</v>
      </c>
      <c r="J64" s="5">
        <f>J27</f>
        <v>0.58149500335314996</v>
      </c>
      <c r="K64" s="3">
        <f>K27/MIN($B27,$E27,$H27,$K27,$N27)</f>
        <v>1.173556248461376</v>
      </c>
      <c r="L64" s="5">
        <f>L27</f>
        <v>108.70958726456099</v>
      </c>
      <c r="M64" s="5">
        <f>M27</f>
        <v>0.75807986195414001</v>
      </c>
      <c r="N64" s="3">
        <f>N27/MIN($B27,$E27,$H27,$K27,$N27)</f>
        <v>1.0488338642451573</v>
      </c>
      <c r="O64" s="5">
        <f>O27</f>
        <v>115.732668067289</v>
      </c>
      <c r="P64" s="5">
        <f>P27</f>
        <v>0.60596553493891503</v>
      </c>
    </row>
    <row r="65" spans="1:16" x14ac:dyDescent="0.2">
      <c r="A65" s="5">
        <v>827</v>
      </c>
      <c r="B65" s="3">
        <f>B28/MIN($B28,$E28,$H28,$K28,$N28)</f>
        <v>1</v>
      </c>
      <c r="C65" s="5">
        <f>C28</f>
        <v>122.90382385253901</v>
      </c>
      <c r="D65" s="5">
        <f>D28</f>
        <v>1.1098483437470901</v>
      </c>
      <c r="E65" s="3">
        <f>E28/MIN($B28,$E28,$H28,$K28,$N28)</f>
        <v>1.1236814493928688</v>
      </c>
      <c r="F65" s="5">
        <f>F28</f>
        <v>103.70931982881601</v>
      </c>
      <c r="G65" s="5">
        <f>G28</f>
        <v>1.34332111269333</v>
      </c>
      <c r="H65" s="3">
        <f>H28/MIN($B28,$E28,$H28,$K28,$N28)</f>
        <v>1.0402942245284597</v>
      </c>
      <c r="I65" s="5">
        <f>I28</f>
        <v>98.4686828173907</v>
      </c>
      <c r="J65" s="5">
        <f>J28</f>
        <v>1.14483440247046</v>
      </c>
      <c r="K65" s="3">
        <f>K28/MIN($B28,$E28,$H28,$K28,$N28)</f>
        <v>1.2141613662513444</v>
      </c>
      <c r="L65" s="5">
        <f>L28</f>
        <v>119.743245539475</v>
      </c>
      <c r="M65" s="5">
        <f>M28</f>
        <v>1.3592362590361999</v>
      </c>
      <c r="N65" s="3">
        <f>N28/MIN($B28,$E28,$H28,$K28,$N28)</f>
        <v>1.0600518569107165</v>
      </c>
      <c r="O65" s="5">
        <f>O28</f>
        <v>108.842324599645</v>
      </c>
      <c r="P65" s="5">
        <f>P28</f>
        <v>1.10916369344887</v>
      </c>
    </row>
    <row r="66" spans="1:16" x14ac:dyDescent="0.2">
      <c r="A66" s="5">
        <v>838</v>
      </c>
      <c r="B66" s="3">
        <f>B29/MIN($B29,$E29,$H29,$K29,$N29)</f>
        <v>1.8012377053792532</v>
      </c>
      <c r="C66" s="5">
        <f>C29</f>
        <v>104.938602447509</v>
      </c>
      <c r="D66" s="5">
        <f>D29</f>
        <v>1.2481959083387899</v>
      </c>
      <c r="E66" s="3">
        <f>E29/MIN($B29,$E29,$H29,$K29,$N29)</f>
        <v>1.2749351102870838</v>
      </c>
      <c r="F66" s="5">
        <f>F29</f>
        <v>96.573023574976304</v>
      </c>
      <c r="G66" s="5">
        <f>G29</f>
        <v>1.0686986186384599</v>
      </c>
      <c r="H66" s="3">
        <f>H29/MIN($B29,$E29,$H29,$K29,$N29)</f>
        <v>1.0516180472264274</v>
      </c>
      <c r="I66" s="5">
        <f>I29</f>
        <v>88.939087762252598</v>
      </c>
      <c r="J66" s="5">
        <f>J29</f>
        <v>0.86279609645402</v>
      </c>
      <c r="K66" s="3">
        <f>K29/MIN($B29,$E29,$H29,$K29,$N29)</f>
        <v>1.4664210764259082</v>
      </c>
      <c r="L66" s="5">
        <f>L29</f>
        <v>91.172246329009397</v>
      </c>
      <c r="M66" s="5">
        <f>M29</f>
        <v>1.1326102868371699</v>
      </c>
      <c r="N66" s="3">
        <f>N29/MIN($B29,$E29,$H29,$K29,$N29)</f>
        <v>1</v>
      </c>
      <c r="O66" s="5">
        <f>O29</f>
        <v>90.7274158671907</v>
      </c>
      <c r="P66" s="5">
        <f>P29</f>
        <v>0.77701732073623897</v>
      </c>
    </row>
    <row r="67" spans="1:16" x14ac:dyDescent="0.2">
      <c r="A67" s="5">
        <v>876</v>
      </c>
      <c r="B67" s="3">
        <f>B30/MIN($B30,$E30,$H30,$K30,$N30)</f>
        <v>3.4580155060025977</v>
      </c>
      <c r="C67" s="5">
        <f>C30</f>
        <v>200</v>
      </c>
      <c r="D67" s="5">
        <f>D30</f>
        <v>1.12339852135689</v>
      </c>
      <c r="E67" s="3">
        <f>E30/MIN($B30,$E30,$H30,$K30,$N30)</f>
        <v>1.1531530281628934</v>
      </c>
      <c r="F67" s="5">
        <f>F30</f>
        <v>200</v>
      </c>
      <c r="G67" s="5">
        <f>G30</f>
        <v>0.37462249153620603</v>
      </c>
      <c r="H67" s="3">
        <f>H30/MIN($B30,$E30,$H30,$K30,$N30)</f>
        <v>1.1131839501026801</v>
      </c>
      <c r="I67" s="5">
        <f>I30</f>
        <v>200</v>
      </c>
      <c r="J67" s="5">
        <f>J30</f>
        <v>0.36163781800057199</v>
      </c>
      <c r="K67" s="3">
        <f>K30/MIN($B30,$E30,$H30,$K30,$N30)</f>
        <v>1.6703872671629159</v>
      </c>
      <c r="L67" s="5">
        <f>L30</f>
        <v>200</v>
      </c>
      <c r="M67" s="5">
        <f>M30</f>
        <v>0.542655332442599</v>
      </c>
      <c r="N67" s="3">
        <f>N30/MIN($B30,$E30,$H30,$K30,$N30)</f>
        <v>1</v>
      </c>
      <c r="O67" s="5">
        <f>O30</f>
        <v>200</v>
      </c>
      <c r="P67" s="5">
        <f>P30</f>
        <v>0.32486797709149101</v>
      </c>
    </row>
    <row r="68" spans="1:16" x14ac:dyDescent="0.2">
      <c r="A68" s="5">
        <v>877</v>
      </c>
      <c r="B68" s="3">
        <f>B31/MIN($B31,$E31,$H31,$K31,$N31)</f>
        <v>1</v>
      </c>
      <c r="C68" s="5">
        <f>C31</f>
        <v>183.327114582061</v>
      </c>
      <c r="D68" s="5">
        <f>D31</f>
        <v>0.67408566730150699</v>
      </c>
      <c r="E68" s="3">
        <f>E31/MIN($B31,$E31,$H31,$K31,$N31)</f>
        <v>1.025090270178836</v>
      </c>
      <c r="F68" s="5">
        <f>F31</f>
        <v>166.113674015681</v>
      </c>
      <c r="G68" s="5">
        <f>G31</f>
        <v>0.497582408090738</v>
      </c>
      <c r="H68" s="3">
        <f>H31/MIN($B31,$E31,$H31,$K31,$N31)</f>
        <v>1.0809624827843458</v>
      </c>
      <c r="I68" s="5">
        <f>I31</f>
        <v>173.22422269380499</v>
      </c>
      <c r="J68" s="5">
        <f>J31</f>
        <v>0.64631084403592598</v>
      </c>
      <c r="K68" s="3">
        <f>K31/MIN($B31,$E31,$H31,$K31,$N31)</f>
        <v>1.0145461447293511</v>
      </c>
      <c r="L68" s="5">
        <f>L31</f>
        <v>170.20657624537299</v>
      </c>
      <c r="M68" s="5">
        <f>M31</f>
        <v>0.53965923608578104</v>
      </c>
      <c r="N68" s="3">
        <f>N31/MIN($B31,$E31,$H31,$K31,$N31)</f>
        <v>1.067916643134126</v>
      </c>
      <c r="O68" s="5">
        <f>O31</f>
        <v>165.68488743064401</v>
      </c>
      <c r="P68" s="5">
        <f>P31</f>
        <v>0.38997610881886302</v>
      </c>
    </row>
    <row r="69" spans="1:16" x14ac:dyDescent="0.2">
      <c r="A69" s="5">
        <v>888</v>
      </c>
      <c r="B69" s="3">
        <f>B32/MIN($B32,$E32,$H32,$K32,$N32)</f>
        <v>1.0882395763445882</v>
      </c>
      <c r="C69" s="5">
        <f>C32</f>
        <v>120.319199562072</v>
      </c>
      <c r="D69" s="5">
        <f>D32</f>
        <v>0.63667458664003096</v>
      </c>
      <c r="E69" s="3">
        <f>E32/MIN($B32,$E32,$H32,$K32,$N32)</f>
        <v>1</v>
      </c>
      <c r="F69" s="5">
        <f>F32</f>
        <v>96.403316844402696</v>
      </c>
      <c r="G69" s="5">
        <f>G32</f>
        <v>0.54947203951392798</v>
      </c>
      <c r="H69" s="3">
        <f>H32/MIN($B32,$E32,$H32,$K32,$N32)</f>
        <v>1.0294552066366303</v>
      </c>
      <c r="I69" s="5">
        <f>I32</f>
        <v>98.035448749203297</v>
      </c>
      <c r="J69" s="5">
        <f>J32</f>
        <v>0.58283932931695903</v>
      </c>
      <c r="K69" s="3">
        <f>K32/MIN($B32,$E32,$H32,$K32,$N32)</f>
        <v>1.0217434627113111</v>
      </c>
      <c r="L69" s="5">
        <f>L32</f>
        <v>94.187926329353701</v>
      </c>
      <c r="M69" s="5">
        <f>M32</f>
        <v>0.59621938006617903</v>
      </c>
      <c r="N69" s="3">
        <f>N32/MIN($B32,$E32,$H32,$K32,$N32)</f>
        <v>1.1215765914239302</v>
      </c>
      <c r="O69" s="5">
        <f>O32</f>
        <v>137.75169946749699</v>
      </c>
      <c r="P69" s="5">
        <f>P32</f>
        <v>0.59918463596526195</v>
      </c>
    </row>
    <row r="70" spans="1:16" x14ac:dyDescent="0.2">
      <c r="A70" s="5">
        <v>890</v>
      </c>
      <c r="B70" s="3">
        <f>B33/MIN($B33,$E33,$H33,$K33,$N33)</f>
        <v>1.6466564518046924</v>
      </c>
      <c r="C70" s="5">
        <f>C33</f>
        <v>70.2698171138763</v>
      </c>
      <c r="D70" s="5">
        <f>D33</f>
        <v>0.77062701811534395</v>
      </c>
      <c r="E70" s="3">
        <f>E33/MIN($B33,$E33,$H33,$K33,$N33)</f>
        <v>1.1775780647456806</v>
      </c>
      <c r="F70" s="5">
        <f>F33</f>
        <v>62.753118508957797</v>
      </c>
      <c r="G70" s="5">
        <f>G33</f>
        <v>0.48869321768125001</v>
      </c>
      <c r="H70" s="3">
        <f>H33/MIN($B33,$E33,$H33,$K33,$N33)</f>
        <v>1</v>
      </c>
      <c r="I70" s="5">
        <f>I33</f>
        <v>48.055473656060002</v>
      </c>
      <c r="J70" s="5">
        <f>J33</f>
        <v>0.45195334421345701</v>
      </c>
      <c r="K70" s="3">
        <f>K33/MIN($B33,$E33,$H33,$K33,$N33)</f>
        <v>1.4288807448525165</v>
      </c>
      <c r="L70" s="5">
        <f>L33</f>
        <v>67.731018213487999</v>
      </c>
      <c r="M70" s="5">
        <f>M33</f>
        <v>0.61068546081678698</v>
      </c>
      <c r="N70" s="3">
        <f>N33/MIN($B33,$E33,$H33,$K33,$N33)</f>
        <v>1.3488434143939618</v>
      </c>
      <c r="O70" s="5">
        <f>O33</f>
        <v>78.336934189426799</v>
      </c>
      <c r="P70" s="5">
        <f>P33</f>
        <v>0.58337423528280596</v>
      </c>
    </row>
    <row r="71" spans="1:16" ht="68" x14ac:dyDescent="0.2">
      <c r="A71" s="11" t="s">
        <v>81</v>
      </c>
      <c r="B71" s="12">
        <f>AVERAGE(B39:B70)</f>
        <v>1.6608782947951524</v>
      </c>
      <c r="C71" s="13">
        <f t="shared" ref="C71:P71" si="2">AVERAGE(C39:C70)</f>
        <v>134.23202354460909</v>
      </c>
      <c r="D71" s="13">
        <f t="shared" si="2"/>
        <v>0.9228040306695825</v>
      </c>
      <c r="E71" s="12">
        <f t="shared" si="2"/>
        <v>1.1474047975867738</v>
      </c>
      <c r="F71" s="13">
        <f t="shared" si="2"/>
        <v>122.5762731622614</v>
      </c>
      <c r="G71" s="13">
        <f t="shared" si="2"/>
        <v>0.73957392432502678</v>
      </c>
      <c r="H71" s="12">
        <f t="shared" si="2"/>
        <v>1.2626586375982454</v>
      </c>
      <c r="I71" s="13">
        <f t="shared" si="2"/>
        <v>123.55572873930143</v>
      </c>
      <c r="J71" s="13">
        <f t="shared" si="2"/>
        <v>0.75973375737488491</v>
      </c>
      <c r="K71" s="12">
        <f t="shared" si="2"/>
        <v>1.2641460661028181</v>
      </c>
      <c r="L71" s="13">
        <f t="shared" si="2"/>
        <v>126.56000947425338</v>
      </c>
      <c r="M71" s="13">
        <f t="shared" si="2"/>
        <v>0.84919234676244348</v>
      </c>
      <c r="N71" s="12">
        <f t="shared" si="2"/>
        <v>1.1089783403251359</v>
      </c>
      <c r="O71" s="13">
        <f t="shared" si="2"/>
        <v>126.81474105937971</v>
      </c>
      <c r="P71" s="13">
        <f t="shared" si="2"/>
        <v>0.66909659773388874</v>
      </c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E1D00-8E72-C940-8E5E-F04721944B0A}">
  <dimension ref="A1:R71"/>
  <sheetViews>
    <sheetView topLeftCell="A13" workbookViewId="0">
      <selection activeCell="N1" sqref="N1:N1048576"/>
    </sheetView>
  </sheetViews>
  <sheetFormatPr baseColWidth="10" defaultRowHeight="16" x14ac:dyDescent="0.2"/>
  <cols>
    <col min="1" max="1" width="15" customWidth="1"/>
    <col min="2" max="2" width="12.1640625" style="3" bestFit="1" customWidth="1"/>
    <col min="3" max="4" width="12.1640625" bestFit="1" customWidth="1"/>
    <col min="5" max="5" width="12.1640625" style="3" bestFit="1" customWidth="1"/>
    <col min="6" max="7" width="12.1640625" bestFit="1" customWidth="1"/>
    <col min="8" max="8" width="12.1640625" style="3" bestFit="1" customWidth="1"/>
    <col min="9" max="10" width="12.1640625" bestFit="1" customWidth="1"/>
    <col min="11" max="11" width="12.1640625" style="3" bestFit="1" customWidth="1"/>
    <col min="12" max="12" width="13.83203125" customWidth="1"/>
    <col min="13" max="13" width="12.1640625" bestFit="1" customWidth="1"/>
    <col min="14" max="14" width="12.1640625" style="3" bestFit="1" customWidth="1"/>
    <col min="15" max="16" width="12.1640625" bestFit="1" customWidth="1"/>
    <col min="18" max="18" width="32.83203125" customWidth="1"/>
  </cols>
  <sheetData>
    <row r="1" spans="1:18" s="1" customFormat="1" ht="43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R1" s="1" t="s">
        <v>16</v>
      </c>
    </row>
    <row r="2" spans="1:18" x14ac:dyDescent="0.2">
      <c r="A2">
        <v>47</v>
      </c>
      <c r="B2" s="3">
        <v>6516.2022681927201</v>
      </c>
      <c r="C2">
        <v>122.536516189575</v>
      </c>
      <c r="D2">
        <v>0.53256749677733395</v>
      </c>
      <c r="E2" s="3">
        <v>6393.2710294306698</v>
      </c>
      <c r="F2">
        <v>124.46870657701101</v>
      </c>
      <c r="G2">
        <v>0.59550928053681895</v>
      </c>
      <c r="H2" s="3">
        <v>6165.5495148850996</v>
      </c>
      <c r="I2">
        <v>129.35545735611299</v>
      </c>
      <c r="J2">
        <v>0.62043972930484703</v>
      </c>
      <c r="K2" s="3">
        <v>5398.7718727607298</v>
      </c>
      <c r="L2">
        <v>121.148322968323</v>
      </c>
      <c r="M2">
        <v>0.54349612624550703</v>
      </c>
      <c r="N2" s="3">
        <v>3924.3086993182501</v>
      </c>
      <c r="O2">
        <v>113.89101115774</v>
      </c>
      <c r="P2">
        <v>0.29566876277158799</v>
      </c>
      <c r="R2" s="4" t="s">
        <v>70</v>
      </c>
    </row>
    <row r="3" spans="1:18" x14ac:dyDescent="0.2">
      <c r="A3">
        <v>65</v>
      </c>
      <c r="B3" s="3">
        <v>1585.54162670047</v>
      </c>
      <c r="C3">
        <v>186.116254329681</v>
      </c>
      <c r="D3">
        <v>1.2037194695928199</v>
      </c>
      <c r="E3" s="3">
        <v>1327.08243076128</v>
      </c>
      <c r="F3">
        <v>179.19803551747</v>
      </c>
      <c r="G3">
        <v>0.99346582017927998</v>
      </c>
      <c r="H3" s="3">
        <v>1243.33189675371</v>
      </c>
      <c r="I3">
        <v>171.29115381934199</v>
      </c>
      <c r="J3">
        <v>0.92818966236229405</v>
      </c>
      <c r="K3" s="3">
        <v>1267.53241211926</v>
      </c>
      <c r="L3">
        <v>172.18517755856899</v>
      </c>
      <c r="M3">
        <v>1.08871300688351</v>
      </c>
      <c r="N3" s="3">
        <v>1265.50655600408</v>
      </c>
      <c r="O3">
        <v>174.48477456769101</v>
      </c>
      <c r="P3">
        <v>0.88331586054473699</v>
      </c>
      <c r="R3" s="4" t="s">
        <v>20</v>
      </c>
    </row>
    <row r="4" spans="1:18" x14ac:dyDescent="0.2">
      <c r="A4">
        <v>98</v>
      </c>
      <c r="B4" s="3">
        <v>6386.3723662185503</v>
      </c>
      <c r="C4">
        <v>197.04922437667801</v>
      </c>
      <c r="D4">
        <v>2.00888713524528</v>
      </c>
      <c r="E4" s="3">
        <v>1021.71897907121</v>
      </c>
      <c r="F4">
        <v>198.655282308875</v>
      </c>
      <c r="G4">
        <v>0.34840919764515299</v>
      </c>
      <c r="H4" s="3">
        <v>2107.0187718953398</v>
      </c>
      <c r="I4">
        <v>194.30410522053401</v>
      </c>
      <c r="J4">
        <v>0.84360653680174702</v>
      </c>
      <c r="K4" s="3">
        <v>1181.2819134607601</v>
      </c>
      <c r="L4">
        <v>193.83815767082299</v>
      </c>
      <c r="M4">
        <v>0.40367597207665401</v>
      </c>
      <c r="N4" s="3">
        <v>1010.25229038361</v>
      </c>
      <c r="O4">
        <v>199.89341895288101</v>
      </c>
      <c r="P4">
        <v>0.30999287536175701</v>
      </c>
      <c r="R4" s="4" t="s">
        <v>71</v>
      </c>
    </row>
    <row r="5" spans="1:18" x14ac:dyDescent="0.2">
      <c r="A5">
        <v>114</v>
      </c>
      <c r="B5" s="3">
        <v>42593.852702003802</v>
      </c>
      <c r="C5">
        <v>49.969258904457</v>
      </c>
      <c r="D5">
        <v>0.58431032098390201</v>
      </c>
      <c r="E5" s="3">
        <v>51838.676431848799</v>
      </c>
      <c r="F5">
        <v>52.295170773032503</v>
      </c>
      <c r="G5">
        <v>0.6589834757659</v>
      </c>
      <c r="H5" s="3">
        <v>48442.164529495698</v>
      </c>
      <c r="I5">
        <v>49.288011214121298</v>
      </c>
      <c r="J5">
        <v>0.62870264199232795</v>
      </c>
      <c r="K5" s="3">
        <v>44504.516671989899</v>
      </c>
      <c r="L5">
        <v>44.279221680072403</v>
      </c>
      <c r="M5">
        <v>0.59458674260767297</v>
      </c>
      <c r="N5" s="3">
        <v>43368.578232897002</v>
      </c>
      <c r="O5">
        <v>46.853966238275</v>
      </c>
      <c r="P5">
        <v>0.574609355298207</v>
      </c>
      <c r="R5" s="4" t="s">
        <v>72</v>
      </c>
    </row>
    <row r="6" spans="1:18" x14ac:dyDescent="0.2">
      <c r="A6">
        <v>123</v>
      </c>
      <c r="B6" s="3">
        <v>11116.4411571329</v>
      </c>
      <c r="C6">
        <v>124.598896503448</v>
      </c>
      <c r="D6">
        <v>1.0717383660061199</v>
      </c>
      <c r="E6" s="3">
        <v>10174.113327250299</v>
      </c>
      <c r="F6">
        <v>121.95017267975</v>
      </c>
      <c r="G6">
        <v>0.99921980378140496</v>
      </c>
      <c r="H6" s="3">
        <v>10027.415650425501</v>
      </c>
      <c r="I6">
        <v>121.27636196368201</v>
      </c>
      <c r="J6">
        <v>0.977284026995206</v>
      </c>
      <c r="K6" s="3">
        <v>10596.2916116297</v>
      </c>
      <c r="L6">
        <v>122.997975457621</v>
      </c>
      <c r="M6">
        <v>0.99183833380163</v>
      </c>
      <c r="N6" s="3">
        <v>11092.086429724401</v>
      </c>
      <c r="O6">
        <v>121.96092012464101</v>
      </c>
      <c r="P6">
        <v>0.93926244449974206</v>
      </c>
      <c r="R6" s="4" t="s">
        <v>73</v>
      </c>
    </row>
    <row r="7" spans="1:18" x14ac:dyDescent="0.2">
      <c r="A7">
        <v>168</v>
      </c>
      <c r="B7" s="3">
        <v>2564.56419299654</v>
      </c>
      <c r="C7">
        <v>134.533607959747</v>
      </c>
      <c r="D7">
        <v>0.90233102266141096</v>
      </c>
      <c r="E7" s="3">
        <v>3168.5763653876202</v>
      </c>
      <c r="F7">
        <v>139.36390958595899</v>
      </c>
      <c r="G7">
        <v>1.3221926509023001</v>
      </c>
      <c r="H7" s="3">
        <v>2645.3676872046799</v>
      </c>
      <c r="I7">
        <v>127.59612558182501</v>
      </c>
      <c r="J7">
        <v>0.99483268235595601</v>
      </c>
      <c r="K7" s="3">
        <v>2630.8655727009</v>
      </c>
      <c r="L7">
        <v>140.136659007101</v>
      </c>
      <c r="M7">
        <v>1.2051372621018499</v>
      </c>
      <c r="N7" s="3">
        <v>3005.6170078472901</v>
      </c>
      <c r="O7">
        <v>179.170175751475</v>
      </c>
      <c r="P7">
        <v>0.99938861964085202</v>
      </c>
      <c r="R7" s="4" t="s">
        <v>74</v>
      </c>
    </row>
    <row r="8" spans="1:18" x14ac:dyDescent="0.2">
      <c r="A8">
        <v>172</v>
      </c>
      <c r="B8" s="3">
        <v>9942.89012309801</v>
      </c>
      <c r="C8">
        <v>141.93568229675199</v>
      </c>
      <c r="D8">
        <v>0.79751030298711401</v>
      </c>
      <c r="E8" s="3">
        <v>9266.6779423716398</v>
      </c>
      <c r="F8">
        <v>122.744314063288</v>
      </c>
      <c r="G8">
        <v>0.78170999555890597</v>
      </c>
      <c r="H8" s="3">
        <v>8068.0453055542503</v>
      </c>
      <c r="I8">
        <v>122.808226888313</v>
      </c>
      <c r="J8">
        <v>0.71389536040051205</v>
      </c>
      <c r="K8" s="3">
        <v>13004.3740785151</v>
      </c>
      <c r="L8">
        <v>127.211726215261</v>
      </c>
      <c r="M8">
        <v>1.2379420011109401</v>
      </c>
      <c r="N8" s="3">
        <v>8956.1333453531097</v>
      </c>
      <c r="O8">
        <v>116.83069605411799</v>
      </c>
      <c r="P8">
        <v>0.67083441213885497</v>
      </c>
      <c r="R8" s="4" t="s">
        <v>24</v>
      </c>
    </row>
    <row r="9" spans="1:18" x14ac:dyDescent="0.2">
      <c r="A9">
        <v>185</v>
      </c>
      <c r="B9" s="3">
        <v>33697.202257754201</v>
      </c>
      <c r="C9">
        <v>105.790913105011</v>
      </c>
      <c r="D9">
        <v>0.86794365119793904</v>
      </c>
      <c r="E9" s="3">
        <v>30448.066101414901</v>
      </c>
      <c r="F9">
        <v>97.700367494684201</v>
      </c>
      <c r="G9">
        <v>0.85835183006424198</v>
      </c>
      <c r="H9" s="3">
        <v>32979.174620572703</v>
      </c>
      <c r="I9">
        <v>101.38311930743301</v>
      </c>
      <c r="J9">
        <v>0.94736945226739799</v>
      </c>
      <c r="K9" s="3">
        <v>31794.1145697928</v>
      </c>
      <c r="L9">
        <v>102.012653824537</v>
      </c>
      <c r="M9">
        <v>0.81913869197039901</v>
      </c>
      <c r="N9" s="3">
        <v>31660.468823360301</v>
      </c>
      <c r="O9">
        <v>99.889610764094499</v>
      </c>
      <c r="P9">
        <v>0.82063725481926897</v>
      </c>
      <c r="R9" s="4" t="s">
        <v>25</v>
      </c>
    </row>
    <row r="10" spans="1:18" x14ac:dyDescent="0.2">
      <c r="A10">
        <v>195</v>
      </c>
      <c r="B10" s="3">
        <v>60584.102997403497</v>
      </c>
      <c r="C10">
        <v>100.27847290039</v>
      </c>
      <c r="D10">
        <v>0.612292886813808</v>
      </c>
      <c r="E10" s="3">
        <v>53455.934241183102</v>
      </c>
      <c r="F10">
        <v>90.783409211563495</v>
      </c>
      <c r="G10">
        <v>0.52772235836524095</v>
      </c>
      <c r="H10" s="3">
        <v>52039.975843658598</v>
      </c>
      <c r="I10">
        <v>93.398764048114501</v>
      </c>
      <c r="J10">
        <v>0.53881367681778003</v>
      </c>
      <c r="K10" s="3">
        <v>52963.474473223701</v>
      </c>
      <c r="L10">
        <v>90.595675127250601</v>
      </c>
      <c r="M10">
        <v>0.501536689590104</v>
      </c>
      <c r="N10" s="3">
        <v>53986.059347737799</v>
      </c>
      <c r="O10">
        <v>91.083698721722499</v>
      </c>
      <c r="P10">
        <v>0.495615685774421</v>
      </c>
      <c r="R10" s="4" t="s">
        <v>75</v>
      </c>
    </row>
    <row r="11" spans="1:18" x14ac:dyDescent="0.2">
      <c r="A11">
        <v>197</v>
      </c>
      <c r="B11" s="3">
        <v>12623.5525902972</v>
      </c>
      <c r="C11">
        <v>135.22287607192899</v>
      </c>
      <c r="D11">
        <v>0.801289788903355</v>
      </c>
      <c r="E11" s="3">
        <v>12811.7953336884</v>
      </c>
      <c r="F11">
        <v>139.818165296465</v>
      </c>
      <c r="G11">
        <v>0.83446832872863996</v>
      </c>
      <c r="H11" s="3">
        <v>12237.6188991624</v>
      </c>
      <c r="I11">
        <v>142.047964482895</v>
      </c>
      <c r="J11">
        <v>0.85863176182333101</v>
      </c>
      <c r="K11" s="3">
        <v>12494.095366477801</v>
      </c>
      <c r="L11">
        <v>141.32142760825599</v>
      </c>
      <c r="M11">
        <v>0.73460932263509504</v>
      </c>
      <c r="N11" s="3">
        <v>12945.7574340798</v>
      </c>
      <c r="O11">
        <v>131.53668696300301</v>
      </c>
      <c r="P11">
        <v>0.68675184771369402</v>
      </c>
      <c r="R11" s="4" t="s">
        <v>76</v>
      </c>
    </row>
    <row r="12" spans="1:18" x14ac:dyDescent="0.2">
      <c r="A12">
        <v>237</v>
      </c>
      <c r="B12" s="3">
        <v>29196.648574793599</v>
      </c>
      <c r="C12">
        <v>128.96717786788901</v>
      </c>
      <c r="D12">
        <v>0.84678073306768697</v>
      </c>
      <c r="E12" s="3">
        <v>23288.611136801301</v>
      </c>
      <c r="F12">
        <v>125.235767098729</v>
      </c>
      <c r="G12">
        <v>0.54339941350544196</v>
      </c>
      <c r="H12" s="3">
        <v>25260.809367091701</v>
      </c>
      <c r="I12">
        <v>125.28874550019199</v>
      </c>
      <c r="J12">
        <v>0.77926430537486702</v>
      </c>
      <c r="K12" s="3">
        <v>23296.8314140611</v>
      </c>
      <c r="L12">
        <v>126.40949548423499</v>
      </c>
      <c r="M12">
        <v>0.67923343306955397</v>
      </c>
      <c r="N12" s="3">
        <v>24512.421908174802</v>
      </c>
      <c r="O12">
        <v>118.35840833572</v>
      </c>
      <c r="P12">
        <v>0.43673528338545198</v>
      </c>
      <c r="R12" s="4" t="s">
        <v>30</v>
      </c>
    </row>
    <row r="13" spans="1:18" x14ac:dyDescent="0.2">
      <c r="A13">
        <v>272</v>
      </c>
      <c r="B13" s="3">
        <v>2325.38588195593</v>
      </c>
      <c r="C13">
        <v>160.721480846405</v>
      </c>
      <c r="D13">
        <v>1.08819501026668</v>
      </c>
      <c r="E13" s="3">
        <v>1535.5831462210599</v>
      </c>
      <c r="F13">
        <v>145.14119736861201</v>
      </c>
      <c r="G13">
        <v>0.84864270259796903</v>
      </c>
      <c r="H13" s="3">
        <v>1500.2543330604501</v>
      </c>
      <c r="I13">
        <v>140.53312531668101</v>
      </c>
      <c r="J13">
        <v>0.72158228083176901</v>
      </c>
      <c r="K13" s="3">
        <v>1451.4536661208299</v>
      </c>
      <c r="L13">
        <v>147.45739950551999</v>
      </c>
      <c r="M13">
        <v>0.86092180042905897</v>
      </c>
      <c r="N13" s="3">
        <v>1555.9428163913699</v>
      </c>
      <c r="O13">
        <v>146.79681452717099</v>
      </c>
      <c r="P13">
        <v>0.90473134481388895</v>
      </c>
      <c r="R13" s="4" t="s">
        <v>29</v>
      </c>
    </row>
    <row r="14" spans="1:18" x14ac:dyDescent="0.2">
      <c r="A14">
        <v>279</v>
      </c>
      <c r="B14" s="3">
        <v>46415.453978174097</v>
      </c>
      <c r="C14">
        <v>107.76480436324999</v>
      </c>
      <c r="D14">
        <v>0.68590786656813896</v>
      </c>
      <c r="E14" s="3">
        <v>34499.568050340204</v>
      </c>
      <c r="F14">
        <v>91.364041413681093</v>
      </c>
      <c r="G14">
        <v>0.57707656543660402</v>
      </c>
      <c r="H14" s="3">
        <v>35767.644682625098</v>
      </c>
      <c r="I14">
        <v>96.263876825395698</v>
      </c>
      <c r="J14">
        <v>0.55792859989425303</v>
      </c>
      <c r="K14" s="3">
        <v>68560.011655557406</v>
      </c>
      <c r="L14">
        <v>134.539157493674</v>
      </c>
      <c r="M14">
        <v>1.2336176858808701</v>
      </c>
      <c r="N14" s="3">
        <v>39873.098575562202</v>
      </c>
      <c r="O14">
        <v>87.221509627522806</v>
      </c>
      <c r="P14">
        <v>0.51968698166625704</v>
      </c>
      <c r="R14" s="4" t="s">
        <v>28</v>
      </c>
    </row>
    <row r="15" spans="1:18" x14ac:dyDescent="0.2">
      <c r="A15">
        <v>709</v>
      </c>
      <c r="B15" s="3">
        <v>2356.8482131864098</v>
      </c>
      <c r="C15">
        <v>148.10541868209799</v>
      </c>
      <c r="D15">
        <v>4.9304986897459498E-2</v>
      </c>
      <c r="E15" s="3">
        <v>857.36758722324896</v>
      </c>
      <c r="F15">
        <v>183.67090019803399</v>
      </c>
      <c r="G15">
        <v>1.2730766131148199E-2</v>
      </c>
      <c r="H15" s="3">
        <v>2496.2924934902899</v>
      </c>
      <c r="I15">
        <v>172.32681413464499</v>
      </c>
      <c r="J15">
        <v>5.3316921917418603E-2</v>
      </c>
      <c r="K15" s="3">
        <v>760.29761981007903</v>
      </c>
      <c r="L15">
        <v>131.625533938149</v>
      </c>
      <c r="M15">
        <v>1.2669780409114101E-2</v>
      </c>
      <c r="N15" s="3">
        <v>986.32424187567005</v>
      </c>
      <c r="O15">
        <v>165.689076130659</v>
      </c>
      <c r="P15">
        <v>1.9752614426295199E-2</v>
      </c>
      <c r="R15" s="4" t="s">
        <v>24</v>
      </c>
    </row>
    <row r="16" spans="1:18" x14ac:dyDescent="0.2">
      <c r="A16">
        <v>712</v>
      </c>
      <c r="B16" s="3">
        <v>4068.3297555630802</v>
      </c>
      <c r="C16">
        <v>157.79690742492599</v>
      </c>
      <c r="D16">
        <v>0.84778081625921797</v>
      </c>
      <c r="E16" s="3">
        <v>2688.0459949615401</v>
      </c>
      <c r="F16">
        <v>129.52510133865599</v>
      </c>
      <c r="G16">
        <v>0.66111218449446796</v>
      </c>
      <c r="H16" s="3">
        <v>2447.9298128690898</v>
      </c>
      <c r="I16">
        <v>129.86613253282999</v>
      </c>
      <c r="J16">
        <v>0.59950067636486304</v>
      </c>
      <c r="K16" s="3">
        <v>3756.1105524930699</v>
      </c>
      <c r="L16">
        <v>136.05993429034399</v>
      </c>
      <c r="M16">
        <v>1.14453903655461</v>
      </c>
      <c r="N16" s="3">
        <v>2610.90499216752</v>
      </c>
      <c r="O16">
        <v>130.45950276875001</v>
      </c>
      <c r="P16">
        <v>0.65397523004760705</v>
      </c>
      <c r="R16" s="4" t="s">
        <v>77</v>
      </c>
    </row>
    <row r="17" spans="1:16" x14ac:dyDescent="0.2">
      <c r="A17">
        <v>714</v>
      </c>
      <c r="B17" s="3">
        <v>2321.9669463625</v>
      </c>
      <c r="C17">
        <v>161.92650794982899</v>
      </c>
      <c r="D17">
        <v>0.76336015697675697</v>
      </c>
      <c r="E17" s="3">
        <v>518.87545650241896</v>
      </c>
      <c r="F17">
        <v>115.85790890621099</v>
      </c>
      <c r="G17">
        <v>0.27313364596908402</v>
      </c>
      <c r="H17" s="3">
        <v>1139.51659623573</v>
      </c>
      <c r="I17">
        <v>153.73584614045501</v>
      </c>
      <c r="J17">
        <v>0.60076193577617398</v>
      </c>
      <c r="K17" s="3">
        <v>616.04030440201996</v>
      </c>
      <c r="L17">
        <v>166.09348876056001</v>
      </c>
      <c r="M17">
        <v>0.26884626140650603</v>
      </c>
      <c r="N17" s="3">
        <v>601.917789211833</v>
      </c>
      <c r="O17">
        <v>167.187631740547</v>
      </c>
      <c r="P17">
        <v>0.27757452162261498</v>
      </c>
    </row>
    <row r="18" spans="1:16" x14ac:dyDescent="0.2">
      <c r="A18">
        <v>722</v>
      </c>
      <c r="B18" s="3">
        <v>245800.846605539</v>
      </c>
      <c r="C18">
        <v>114.43694829940701</v>
      </c>
      <c r="D18">
        <v>0.89557879745688496</v>
      </c>
      <c r="E18" s="3">
        <v>216823.902362956</v>
      </c>
      <c r="F18">
        <v>119.58094322038301</v>
      </c>
      <c r="G18">
        <v>0.83321798769566302</v>
      </c>
      <c r="H18" s="3">
        <v>173392.94163221901</v>
      </c>
      <c r="I18">
        <v>109.250779576876</v>
      </c>
      <c r="J18">
        <v>0.63047882430604796</v>
      </c>
      <c r="K18" s="3">
        <v>187910.53691249201</v>
      </c>
      <c r="L18">
        <v>117.012596185726</v>
      </c>
      <c r="M18">
        <v>0.74829971203462997</v>
      </c>
      <c r="N18" s="3">
        <v>214750.345746479</v>
      </c>
      <c r="O18">
        <v>117.804225473881</v>
      </c>
      <c r="P18">
        <v>0.74260296428783901</v>
      </c>
    </row>
    <row r="19" spans="1:16" x14ac:dyDescent="0.2">
      <c r="A19">
        <v>724</v>
      </c>
      <c r="B19" s="3">
        <v>6479.37836524461</v>
      </c>
      <c r="C19">
        <v>73.588114976882906</v>
      </c>
      <c r="D19">
        <v>0.94089414480312705</v>
      </c>
      <c r="E19" s="3">
        <v>4993.8136231646404</v>
      </c>
      <c r="F19">
        <v>62.0953075805023</v>
      </c>
      <c r="G19">
        <v>0.76970395255276502</v>
      </c>
      <c r="H19" s="3">
        <v>4571.0124761379002</v>
      </c>
      <c r="I19">
        <v>58.591876326618802</v>
      </c>
      <c r="J19">
        <v>0.69524061937197101</v>
      </c>
      <c r="K19" s="3">
        <v>4632.2707951462999</v>
      </c>
      <c r="L19">
        <v>61.652909671728601</v>
      </c>
      <c r="M19">
        <v>0.70514233564600304</v>
      </c>
      <c r="N19" s="3">
        <v>4859.5628204880004</v>
      </c>
      <c r="O19">
        <v>62.767546818628801</v>
      </c>
      <c r="P19">
        <v>0.77652775859300305</v>
      </c>
    </row>
    <row r="20" spans="1:16" x14ac:dyDescent="0.2">
      <c r="A20">
        <v>749</v>
      </c>
      <c r="B20" s="3">
        <v>66175.787233700496</v>
      </c>
      <c r="C20">
        <v>135.98675727844201</v>
      </c>
      <c r="D20">
        <v>2.33387083178481</v>
      </c>
      <c r="E20" s="3">
        <v>19024.317029594898</v>
      </c>
      <c r="F20">
        <v>104.79200705662301</v>
      </c>
      <c r="G20">
        <v>0.67526558216079302</v>
      </c>
      <c r="H20" s="3">
        <v>22982.917136837499</v>
      </c>
      <c r="I20">
        <v>129.670718190847</v>
      </c>
      <c r="J20">
        <v>0.954971992494694</v>
      </c>
      <c r="K20" s="3">
        <v>23642.743552264099</v>
      </c>
      <c r="L20">
        <v>129.52558572511299</v>
      </c>
      <c r="M20">
        <v>1.02392366337436</v>
      </c>
      <c r="N20" s="3">
        <v>29165.750128227199</v>
      </c>
      <c r="O20">
        <v>114.363749849705</v>
      </c>
      <c r="P20">
        <v>1.0758796630065199</v>
      </c>
    </row>
    <row r="21" spans="1:16" x14ac:dyDescent="0.2">
      <c r="A21">
        <v>777</v>
      </c>
      <c r="B21" s="3">
        <v>4901.0029585789798</v>
      </c>
      <c r="C21">
        <v>155.18862009048399</v>
      </c>
      <c r="D21">
        <v>1.34360146817406</v>
      </c>
      <c r="E21" s="3">
        <v>2559.7417961342899</v>
      </c>
      <c r="F21">
        <v>148.45549180987899</v>
      </c>
      <c r="G21">
        <v>0.83128728193778301</v>
      </c>
      <c r="H21" s="3">
        <v>2713.4071523512198</v>
      </c>
      <c r="I21">
        <v>146.742367540907</v>
      </c>
      <c r="J21">
        <v>0.90710975487527301</v>
      </c>
      <c r="K21" s="3">
        <v>2508.4519066257399</v>
      </c>
      <c r="L21">
        <v>151.4303955096</v>
      </c>
      <c r="M21">
        <v>0.74426273944601395</v>
      </c>
      <c r="N21" s="3">
        <v>2511.5460189842402</v>
      </c>
      <c r="O21">
        <v>155.09911749454801</v>
      </c>
      <c r="P21">
        <v>0.55751920335039895</v>
      </c>
    </row>
    <row r="22" spans="1:16" x14ac:dyDescent="0.2">
      <c r="A22">
        <v>782</v>
      </c>
      <c r="B22" s="3">
        <v>24957.139579687399</v>
      </c>
      <c r="C22">
        <v>134.24704074859599</v>
      </c>
      <c r="D22">
        <v>1.02902478281842</v>
      </c>
      <c r="E22" s="3">
        <v>19479.031510419802</v>
      </c>
      <c r="F22">
        <v>117.390931991899</v>
      </c>
      <c r="G22">
        <v>0.705667132586836</v>
      </c>
      <c r="H22" s="3">
        <v>19407.3848990433</v>
      </c>
      <c r="I22">
        <v>112.962806987135</v>
      </c>
      <c r="J22">
        <v>0.73050986092447401</v>
      </c>
      <c r="K22" s="3">
        <v>18613.8490491011</v>
      </c>
      <c r="L22">
        <v>113.65317968941299</v>
      </c>
      <c r="M22">
        <v>0.694242166555609</v>
      </c>
      <c r="N22" s="3">
        <v>18914.797311571401</v>
      </c>
      <c r="O22">
        <v>113.708431768902</v>
      </c>
      <c r="P22">
        <v>0.75896012347300801</v>
      </c>
    </row>
    <row r="23" spans="1:16" x14ac:dyDescent="0.2">
      <c r="A23">
        <v>792</v>
      </c>
      <c r="B23" s="3">
        <v>18489.0107901964</v>
      </c>
      <c r="C23">
        <v>101.000761985778</v>
      </c>
      <c r="D23">
        <v>0.82520516930769405</v>
      </c>
      <c r="E23" s="3">
        <v>17062.984812482999</v>
      </c>
      <c r="F23">
        <v>95.898137138436098</v>
      </c>
      <c r="G23">
        <v>0.84458714262376</v>
      </c>
      <c r="H23" s="3">
        <v>17362.8187248785</v>
      </c>
      <c r="I23">
        <v>98.536418561422806</v>
      </c>
      <c r="J23">
        <v>0.82754616557826399</v>
      </c>
      <c r="K23" s="3">
        <v>17395.013856628299</v>
      </c>
      <c r="L23">
        <v>95.696308717255803</v>
      </c>
      <c r="M23">
        <v>0.85973185158580701</v>
      </c>
      <c r="N23" s="3">
        <v>17142.7982443609</v>
      </c>
      <c r="O23">
        <v>92.537055675778305</v>
      </c>
      <c r="P23">
        <v>0.83039650507487595</v>
      </c>
    </row>
    <row r="24" spans="1:16" s="23" customFormat="1" x14ac:dyDescent="0.2">
      <c r="A24" s="23">
        <v>804</v>
      </c>
      <c r="B24" s="22">
        <v>6770.6153339264501</v>
      </c>
      <c r="C24" s="23">
        <v>151.24042034149099</v>
      </c>
      <c r="D24" s="23">
        <v>0.711536585278008</v>
      </c>
      <c r="E24" s="22">
        <v>6392.3527955814998</v>
      </c>
      <c r="F24" s="23">
        <v>121.618919795236</v>
      </c>
      <c r="G24" s="23">
        <v>0.80897774369873499</v>
      </c>
      <c r="H24" s="22">
        <v>5066.2967753937701</v>
      </c>
      <c r="I24" s="23">
        <v>134.019166085092</v>
      </c>
      <c r="J24" s="23">
        <v>0.65231847555288303</v>
      </c>
      <c r="K24" s="22">
        <v>6530.3174444263695</v>
      </c>
      <c r="L24" s="23">
        <v>142.951133280585</v>
      </c>
      <c r="M24" s="23">
        <v>0.90336385066507896</v>
      </c>
      <c r="N24" s="22">
        <v>6117.3652349398199</v>
      </c>
      <c r="O24" s="23">
        <v>138.97495393693299</v>
      </c>
      <c r="P24" s="23">
        <v>0.81326929445087903</v>
      </c>
    </row>
    <row r="25" spans="1:16" s="23" customFormat="1" x14ac:dyDescent="0.2">
      <c r="A25" s="23">
        <v>812</v>
      </c>
      <c r="B25" s="22">
        <v>28196.911036494701</v>
      </c>
      <c r="C25" s="23">
        <v>107.354998588562</v>
      </c>
      <c r="D25" s="23">
        <v>2.1270738411066898</v>
      </c>
      <c r="E25" s="22">
        <v>25246.989055296301</v>
      </c>
      <c r="F25" s="23">
        <v>87.441142348662893</v>
      </c>
      <c r="G25" s="23">
        <v>1.9372161433797701</v>
      </c>
      <c r="H25" s="22">
        <v>24191.425136600399</v>
      </c>
      <c r="I25" s="23">
        <v>90.581578955940302</v>
      </c>
      <c r="J25" s="23">
        <v>1.9910101010405099</v>
      </c>
      <c r="K25" s="22">
        <v>24876.174341047299</v>
      </c>
      <c r="L25" s="23">
        <v>96.065488444122295</v>
      </c>
      <c r="M25" s="23">
        <v>2.3360997152908398</v>
      </c>
      <c r="N25" s="22">
        <v>24670.776465478</v>
      </c>
      <c r="O25" s="23">
        <v>85.455802916130196</v>
      </c>
      <c r="P25" s="23">
        <v>1.7611956792231001</v>
      </c>
    </row>
    <row r="26" spans="1:16" x14ac:dyDescent="0.2">
      <c r="A26">
        <v>816</v>
      </c>
      <c r="B26" s="3">
        <v>15505.2744574225</v>
      </c>
      <c r="C26">
        <v>170.700025558471</v>
      </c>
      <c r="D26">
        <v>1.0180786846593599</v>
      </c>
      <c r="E26" s="3">
        <v>5744.0279621826703</v>
      </c>
      <c r="F26">
        <v>163.98991841072501</v>
      </c>
      <c r="G26">
        <v>0.36798252511766899</v>
      </c>
      <c r="H26" s="3">
        <v>10043.7288119975</v>
      </c>
      <c r="I26">
        <v>182.741074829333</v>
      </c>
      <c r="J26">
        <v>0.69167648083233402</v>
      </c>
      <c r="K26" s="3">
        <v>8078.2450906665899</v>
      </c>
      <c r="L26">
        <v>174.81824742281299</v>
      </c>
      <c r="M26">
        <v>0.57521048214388704</v>
      </c>
      <c r="N26" s="3">
        <v>2661.5352991701102</v>
      </c>
      <c r="O26">
        <v>164.85188379642199</v>
      </c>
      <c r="P26">
        <v>0.17315616923772401</v>
      </c>
    </row>
    <row r="27" spans="1:16" x14ac:dyDescent="0.2">
      <c r="A27">
        <v>822</v>
      </c>
      <c r="B27" s="3">
        <v>30020.293935935999</v>
      </c>
      <c r="C27">
        <v>128.730583190917</v>
      </c>
      <c r="D27">
        <v>0.78078267739176499</v>
      </c>
      <c r="E27" s="3">
        <v>27464.9795929213</v>
      </c>
      <c r="F27">
        <v>117.853039235164</v>
      </c>
      <c r="G27">
        <v>0.73394217883056201</v>
      </c>
      <c r="H27" s="3">
        <v>22331.812694816301</v>
      </c>
      <c r="I27">
        <v>117.105509813292</v>
      </c>
      <c r="J27">
        <v>0.652956932885284</v>
      </c>
      <c r="K27" s="3">
        <v>25096.6250236126</v>
      </c>
      <c r="L27">
        <v>111.32031623325901</v>
      </c>
      <c r="M27">
        <v>0.80688244969138501</v>
      </c>
      <c r="N27" s="3">
        <v>28291.857085385</v>
      </c>
      <c r="O27">
        <v>157.36017932913501</v>
      </c>
      <c r="P27">
        <v>0.77133918111506905</v>
      </c>
    </row>
    <row r="28" spans="1:16" x14ac:dyDescent="0.2">
      <c r="A28">
        <v>827</v>
      </c>
      <c r="B28" s="3">
        <v>70087.488184411297</v>
      </c>
      <c r="C28">
        <v>97.1417009830474</v>
      </c>
      <c r="D28">
        <v>1.1226299152989001</v>
      </c>
      <c r="E28" s="3">
        <v>82190.067771210102</v>
      </c>
      <c r="F28">
        <v>103.70931982881601</v>
      </c>
      <c r="G28">
        <v>1.34332111269333</v>
      </c>
      <c r="H28" s="3">
        <v>74723.380259069803</v>
      </c>
      <c r="I28">
        <v>94.6161035174636</v>
      </c>
      <c r="J28">
        <v>1.0789454153507101</v>
      </c>
      <c r="K28" s="3">
        <v>86830.708506235402</v>
      </c>
      <c r="L28">
        <v>119.406263343285</v>
      </c>
      <c r="M28">
        <v>1.3222230101291199</v>
      </c>
      <c r="N28" s="3">
        <v>73085.850974669607</v>
      </c>
      <c r="O28">
        <v>96.866956053717303</v>
      </c>
      <c r="P28">
        <v>1.09730217815208</v>
      </c>
    </row>
    <row r="29" spans="1:16" x14ac:dyDescent="0.2">
      <c r="A29">
        <v>838</v>
      </c>
      <c r="B29" s="3">
        <v>14700.947996642901</v>
      </c>
      <c r="C29">
        <v>108.681595325469</v>
      </c>
      <c r="D29">
        <v>1.30369144203791</v>
      </c>
      <c r="E29" s="3">
        <v>10118.810978817801</v>
      </c>
      <c r="F29">
        <v>96.573023574976304</v>
      </c>
      <c r="G29">
        <v>1.0686986186384599</v>
      </c>
      <c r="H29" s="3">
        <v>8825.5399223062504</v>
      </c>
      <c r="I29">
        <v>91.475531133282999</v>
      </c>
      <c r="J29">
        <v>0.94165641135638001</v>
      </c>
      <c r="K29" s="3">
        <v>13836.357054984501</v>
      </c>
      <c r="L29">
        <v>95.878669679475706</v>
      </c>
      <c r="M29">
        <v>1.3479358000381301</v>
      </c>
      <c r="N29" s="3">
        <v>10347.6922543945</v>
      </c>
      <c r="O29">
        <v>93.356380589594096</v>
      </c>
      <c r="P29">
        <v>1.0638496429469499</v>
      </c>
    </row>
    <row r="30" spans="1:16" x14ac:dyDescent="0.2">
      <c r="A30">
        <v>876</v>
      </c>
      <c r="B30" s="3">
        <v>2128.5600766715502</v>
      </c>
      <c r="C30">
        <v>200</v>
      </c>
      <c r="D30">
        <v>0.41158551801791898</v>
      </c>
      <c r="E30" s="3">
        <v>1937.40167626628</v>
      </c>
      <c r="F30">
        <v>200</v>
      </c>
      <c r="G30">
        <v>0.37462249153620603</v>
      </c>
      <c r="H30" s="3">
        <v>3184.24</v>
      </c>
      <c r="I30">
        <v>200</v>
      </c>
      <c r="J30">
        <v>0.61571533516382304</v>
      </c>
      <c r="K30" s="3">
        <v>3084.01757161867</v>
      </c>
      <c r="L30">
        <v>200</v>
      </c>
      <c r="M30">
        <v>0.59633598998828896</v>
      </c>
      <c r="N30" s="3">
        <v>1586.17993164062</v>
      </c>
      <c r="O30">
        <v>200</v>
      </c>
      <c r="P30">
        <v>0.30670907602449499</v>
      </c>
    </row>
    <row r="31" spans="1:16" x14ac:dyDescent="0.2">
      <c r="A31">
        <v>877</v>
      </c>
      <c r="B31" s="3">
        <v>3621.73908502531</v>
      </c>
      <c r="C31">
        <v>182.30940103530801</v>
      </c>
      <c r="D31">
        <v>1.09305734132226</v>
      </c>
      <c r="E31" s="3">
        <v>1979.0465472251301</v>
      </c>
      <c r="F31">
        <v>166.113674015681</v>
      </c>
      <c r="G31">
        <v>0.497582408090738</v>
      </c>
      <c r="H31" s="3">
        <v>2079.6278369520601</v>
      </c>
      <c r="I31">
        <v>173.62356539236001</v>
      </c>
      <c r="J31">
        <v>0.64587187802060797</v>
      </c>
      <c r="K31" s="3">
        <v>2577.29201315923</v>
      </c>
      <c r="L31">
        <v>175.606830055313</v>
      </c>
      <c r="M31">
        <v>0.98251024910030504</v>
      </c>
      <c r="N31" s="3">
        <v>2455.42950505418</v>
      </c>
      <c r="O31">
        <v>172.63606387234901</v>
      </c>
      <c r="P31">
        <v>0.55986567669172005</v>
      </c>
    </row>
    <row r="32" spans="1:16" x14ac:dyDescent="0.2">
      <c r="A32">
        <v>888</v>
      </c>
      <c r="B32" s="3">
        <v>4896.1972999461505</v>
      </c>
      <c r="C32">
        <v>118.823540210723</v>
      </c>
      <c r="D32">
        <v>0.53876641136558301</v>
      </c>
      <c r="E32" s="3">
        <v>5036.2184129450998</v>
      </c>
      <c r="F32">
        <v>96.403316844402696</v>
      </c>
      <c r="G32">
        <v>0.54947203951392798</v>
      </c>
      <c r="H32" s="3">
        <v>5492.6922906433902</v>
      </c>
      <c r="I32">
        <v>93.179518025305896</v>
      </c>
      <c r="J32">
        <v>0.58662983767029897</v>
      </c>
      <c r="K32" s="3">
        <v>5125.0838984305601</v>
      </c>
      <c r="L32">
        <v>91.169419769093594</v>
      </c>
      <c r="M32">
        <v>0.56863515759374705</v>
      </c>
      <c r="N32" s="3">
        <v>5066.86526478634</v>
      </c>
      <c r="O32">
        <v>90.298901489084301</v>
      </c>
      <c r="P32">
        <v>0.477146684474335</v>
      </c>
    </row>
    <row r="33" spans="1:16" x14ac:dyDescent="0.2">
      <c r="A33">
        <v>890</v>
      </c>
      <c r="B33" s="3">
        <v>9792.1560445082705</v>
      </c>
      <c r="C33">
        <v>72.802174091339097</v>
      </c>
      <c r="D33">
        <v>0.78915928523818901</v>
      </c>
      <c r="E33" s="3">
        <v>6860.7628469527199</v>
      </c>
      <c r="F33">
        <v>62.753118508957797</v>
      </c>
      <c r="G33">
        <v>0.48869321768125001</v>
      </c>
      <c r="H33" s="3">
        <v>6513.6198524172196</v>
      </c>
      <c r="I33">
        <v>58.8459690632248</v>
      </c>
      <c r="J33">
        <v>0.54997561970958797</v>
      </c>
      <c r="K33" s="3">
        <v>7453.02846926863</v>
      </c>
      <c r="L33">
        <v>62.1876072531294</v>
      </c>
      <c r="M33">
        <v>0.55587990892998795</v>
      </c>
      <c r="N33" s="3">
        <v>11173.0249335678</v>
      </c>
      <c r="O33">
        <v>114.697094791045</v>
      </c>
      <c r="P33">
        <v>0.85633298653040602</v>
      </c>
    </row>
    <row r="34" spans="1:16" ht="72" customHeight="1" x14ac:dyDescent="0.2">
      <c r="A34" s="2" t="s">
        <v>81</v>
      </c>
      <c r="B34" s="3">
        <f t="shared" ref="B34:J34" si="0">AVERAGE(B2:B33)</f>
        <v>25838.084519242664</v>
      </c>
      <c r="C34" s="3">
        <f t="shared" si="0"/>
        <v>131.73583382740571</v>
      </c>
      <c r="D34" s="3">
        <f t="shared" si="0"/>
        <v>0.96651427835208148</v>
      </c>
      <c r="E34" s="3">
        <f t="shared" si="0"/>
        <v>21756.51288526904</v>
      </c>
      <c r="F34" s="3">
        <f t="shared" si="0"/>
        <v>122.5762731622614</v>
      </c>
      <c r="G34" s="3">
        <f t="shared" si="0"/>
        <v>0.73957392432502678</v>
      </c>
      <c r="H34" s="3">
        <f t="shared" si="0"/>
        <v>20232.842362707637</v>
      </c>
      <c r="I34" s="3">
        <f t="shared" si="0"/>
        <v>123.83458794786475</v>
      </c>
      <c r="J34" s="3">
        <f t="shared" si="0"/>
        <v>0.76614793613793386</v>
      </c>
      <c r="K34" s="3">
        <f>AVERAGE(K2:K33)</f>
        <v>22264.586851275708</v>
      </c>
      <c r="L34" s="3">
        <f t="shared" ref="L34:P34" si="1">AVERAGE(L2:L33)</f>
        <v>126.13396742406903</v>
      </c>
      <c r="M34" s="3">
        <f t="shared" si="1"/>
        <v>0.8465994134058209</v>
      </c>
      <c r="N34" s="3">
        <f t="shared" si="1"/>
        <v>21692.398615915179</v>
      </c>
      <c r="O34" s="3">
        <f t="shared" si="1"/>
        <v>126.94019519630828</v>
      </c>
      <c r="P34" s="3">
        <f t="shared" si="1"/>
        <v>0.69095580878617646</v>
      </c>
    </row>
    <row r="37" spans="1:16" x14ac:dyDescent="0.2">
      <c r="A37" t="s">
        <v>82</v>
      </c>
    </row>
    <row r="38" spans="1:16" x14ac:dyDescent="0.2">
      <c r="A38" t="s">
        <v>0</v>
      </c>
      <c r="B38" s="3" t="s">
        <v>1</v>
      </c>
      <c r="C38" t="s">
        <v>2</v>
      </c>
      <c r="D38" t="s">
        <v>3</v>
      </c>
      <c r="E38" s="3" t="s">
        <v>4</v>
      </c>
      <c r="F38" t="s">
        <v>5</v>
      </c>
      <c r="G38" t="s">
        <v>6</v>
      </c>
      <c r="H38" s="3" t="s">
        <v>7</v>
      </c>
      <c r="I38" t="s">
        <v>8</v>
      </c>
      <c r="J38" t="s">
        <v>9</v>
      </c>
      <c r="K38" s="3" t="s">
        <v>10</v>
      </c>
      <c r="L38" t="s">
        <v>11</v>
      </c>
      <c r="M38" t="s">
        <v>12</v>
      </c>
      <c r="N38" s="3" t="s">
        <v>13</v>
      </c>
      <c r="O38" t="s">
        <v>14</v>
      </c>
      <c r="P38" t="s">
        <v>15</v>
      </c>
    </row>
    <row r="39" spans="1:16" x14ac:dyDescent="0.2">
      <c r="A39">
        <v>47</v>
      </c>
      <c r="B39" s="3">
        <f>B2/MIN($B2,$E2,$H2,$K2,$N2)</f>
        <v>1.6604713766082537</v>
      </c>
      <c r="C39" s="5">
        <f>C2</f>
        <v>122.536516189575</v>
      </c>
      <c r="D39" s="5">
        <f>D2</f>
        <v>0.53256749677733395</v>
      </c>
      <c r="E39" s="3">
        <f>E2/MIN($B2,$E2,$H2,$K2,$N2)</f>
        <v>1.6291457984794468</v>
      </c>
      <c r="F39" s="5">
        <f>F2</f>
        <v>124.46870657701101</v>
      </c>
      <c r="G39" s="5">
        <f>G2</f>
        <v>0.59550928053681895</v>
      </c>
      <c r="H39" s="3">
        <f>H2/MIN($B2,$E2,$H2,$K2,$N2)</f>
        <v>1.5711173578052635</v>
      </c>
      <c r="I39" s="5">
        <f>I2</f>
        <v>129.35545735611299</v>
      </c>
      <c r="J39" s="5">
        <f>J2</f>
        <v>0.62043972930484703</v>
      </c>
      <c r="K39" s="3">
        <f>K2/MIN($B2,$E2,$H2,$K2,$N2)</f>
        <v>1.375725582877471</v>
      </c>
      <c r="L39" s="5">
        <f>L2</f>
        <v>121.148322968323</v>
      </c>
      <c r="M39" s="5">
        <f>M2</f>
        <v>0.54349612624550703</v>
      </c>
      <c r="N39" s="3">
        <f>N2/MIN($B2,$E2,$H2,$K2,$N2)</f>
        <v>1</v>
      </c>
      <c r="O39" s="5">
        <f>O2</f>
        <v>113.89101115774</v>
      </c>
      <c r="P39" s="5">
        <f>P2</f>
        <v>0.29566876277158799</v>
      </c>
    </row>
    <row r="40" spans="1:16" x14ac:dyDescent="0.2">
      <c r="A40">
        <v>65</v>
      </c>
      <c r="B40" s="3">
        <f>B3/MIN($B3,$E3,$H3,$K3,$N3)</f>
        <v>1.2752360257468307</v>
      </c>
      <c r="C40" s="5">
        <f>C3</f>
        <v>186.116254329681</v>
      </c>
      <c r="D40" s="5">
        <f>D3</f>
        <v>1.2037194695928199</v>
      </c>
      <c r="E40" s="3">
        <f>E3/MIN($B3,$E3,$H3,$K3,$N3)</f>
        <v>1.0673597566556761</v>
      </c>
      <c r="F40" s="5">
        <f>F3</f>
        <v>179.19803551747</v>
      </c>
      <c r="G40" s="5">
        <f>G3</f>
        <v>0.99346582017927998</v>
      </c>
      <c r="H40" s="3">
        <f>H3/MIN($B3,$E3,$H3,$K3,$N3)</f>
        <v>1</v>
      </c>
      <c r="I40" s="5">
        <f>I3</f>
        <v>171.29115381934199</v>
      </c>
      <c r="J40" s="5">
        <f>J3</f>
        <v>0.92818966236229405</v>
      </c>
      <c r="K40" s="3">
        <f>K3/MIN($B3,$E3,$H3,$K3,$N3)</f>
        <v>1.0194642439631256</v>
      </c>
      <c r="L40" s="5">
        <f>L3</f>
        <v>172.18517755856899</v>
      </c>
      <c r="M40" s="5">
        <f>M3</f>
        <v>1.08871300688351</v>
      </c>
      <c r="N40" s="3">
        <f>N3/MIN($B3,$E3,$H3,$K3,$N3)</f>
        <v>1.0178348671889359</v>
      </c>
      <c r="O40" s="5">
        <f>O3</f>
        <v>174.48477456769101</v>
      </c>
      <c r="P40" s="5">
        <f>P3</f>
        <v>0.88331586054473699</v>
      </c>
    </row>
    <row r="41" spans="1:16" x14ac:dyDescent="0.2">
      <c r="A41">
        <v>98</v>
      </c>
      <c r="B41" s="3">
        <f>B4/MIN($B4,$E4,$H4,$K4,$N4)</f>
        <v>6.3215618781656371</v>
      </c>
      <c r="C41" s="5">
        <f>C4</f>
        <v>197.04922437667801</v>
      </c>
      <c r="D41" s="5">
        <f>D4</f>
        <v>2.00888713524528</v>
      </c>
      <c r="E41" s="3">
        <f>E4/MIN($B4,$E4,$H4,$K4,$N4)</f>
        <v>1.0113503218916198</v>
      </c>
      <c r="F41" s="5">
        <f>F4</f>
        <v>198.655282308875</v>
      </c>
      <c r="G41" s="5">
        <f>G4</f>
        <v>0.34840919764515299</v>
      </c>
      <c r="H41" s="3">
        <f>H4/MIN($B4,$E4,$H4,$K4,$N4)</f>
        <v>2.0856362236954382</v>
      </c>
      <c r="I41" s="5">
        <f>I4</f>
        <v>194.30410522053401</v>
      </c>
      <c r="J41" s="5">
        <f>J4</f>
        <v>0.84360653680174702</v>
      </c>
      <c r="K41" s="3">
        <f>K4/MIN($B4,$E4,$H4,$K4,$N4)</f>
        <v>1.1692939721148341</v>
      </c>
      <c r="L41" s="5">
        <f>L4</f>
        <v>193.83815767082299</v>
      </c>
      <c r="M41" s="5">
        <f>M4</f>
        <v>0.40367597207665401</v>
      </c>
      <c r="N41" s="3">
        <f>N4/MIN($B4,$E4,$H4,$K4,$N4)</f>
        <v>1</v>
      </c>
      <c r="O41" s="5">
        <f>O4</f>
        <v>199.89341895288101</v>
      </c>
      <c r="P41" s="5">
        <f>P4</f>
        <v>0.30999287536175701</v>
      </c>
    </row>
    <row r="42" spans="1:16" x14ac:dyDescent="0.2">
      <c r="A42">
        <v>114</v>
      </c>
      <c r="B42" s="3">
        <f>B5/MIN($B5,$E5,$H5,$K5,$N5)</f>
        <v>1</v>
      </c>
      <c r="C42" s="5">
        <f>C5</f>
        <v>49.969258904457</v>
      </c>
      <c r="D42" s="5">
        <f>D5</f>
        <v>0.58431032098390201</v>
      </c>
      <c r="E42" s="3">
        <f>E5/MIN($B5,$E5,$H5,$K5,$N5)</f>
        <v>1.217045961879144</v>
      </c>
      <c r="F42" s="5">
        <f>F5</f>
        <v>52.295170773032503</v>
      </c>
      <c r="G42" s="5">
        <f>G5</f>
        <v>0.6589834757659</v>
      </c>
      <c r="H42" s="3">
        <f>H5/MIN($B5,$E5,$H5,$K5,$N5)</f>
        <v>1.137304128565406</v>
      </c>
      <c r="I42" s="5">
        <f>I5</f>
        <v>49.288011214121298</v>
      </c>
      <c r="J42" s="5">
        <f>J5</f>
        <v>0.62870264199232795</v>
      </c>
      <c r="K42" s="3">
        <f>K5/MIN($B5,$E5,$H5,$K5,$N5)</f>
        <v>1.0448577399972134</v>
      </c>
      <c r="L42" s="5">
        <f>L5</f>
        <v>44.279221680072403</v>
      </c>
      <c r="M42" s="5">
        <f>M5</f>
        <v>0.59458674260767297</v>
      </c>
      <c r="N42" s="3">
        <f>N5/MIN($B5,$E5,$H5,$K5,$N5)</f>
        <v>1.0181886700015927</v>
      </c>
      <c r="O42" s="5">
        <f>O5</f>
        <v>46.853966238275</v>
      </c>
      <c r="P42" s="5">
        <f>P5</f>
        <v>0.574609355298207</v>
      </c>
    </row>
    <row r="43" spans="1:16" x14ac:dyDescent="0.2">
      <c r="A43">
        <v>123</v>
      </c>
      <c r="B43" s="3">
        <f>B6/MIN($B6,$E6,$H6,$K6,$N6)</f>
        <v>1.1086048035379075</v>
      </c>
      <c r="C43" s="5">
        <f>C6</f>
        <v>124.598896503448</v>
      </c>
      <c r="D43" s="5">
        <f>D6</f>
        <v>1.0717383660061199</v>
      </c>
      <c r="E43" s="3">
        <f>E6/MIN($B6,$E6,$H6,$K6,$N6)</f>
        <v>1.0146296595193571</v>
      </c>
      <c r="F43" s="5">
        <f>F6</f>
        <v>121.95017267975</v>
      </c>
      <c r="G43" s="5">
        <f>G6</f>
        <v>0.99921980378140496</v>
      </c>
      <c r="H43" s="3">
        <f>H6/MIN($B6,$E6,$H6,$K6,$N6)</f>
        <v>1</v>
      </c>
      <c r="I43" s="5">
        <f>I6</f>
        <v>121.27636196368201</v>
      </c>
      <c r="J43" s="5">
        <f>J6</f>
        <v>0.977284026995206</v>
      </c>
      <c r="K43" s="3">
        <f>K6/MIN($B6,$E6,$H6,$K6,$N6)</f>
        <v>1.056732061483864</v>
      </c>
      <c r="L43" s="5">
        <f>L6</f>
        <v>122.997975457621</v>
      </c>
      <c r="M43" s="5">
        <f>M6</f>
        <v>0.99183833380163</v>
      </c>
      <c r="N43" s="3">
        <f>N6/MIN($B6,$E6,$H6,$K6,$N6)</f>
        <v>1.1061759895485854</v>
      </c>
      <c r="O43" s="5">
        <f>O6</f>
        <v>121.96092012464101</v>
      </c>
      <c r="P43" s="5">
        <f>P6</f>
        <v>0.93926244449974206</v>
      </c>
    </row>
    <row r="44" spans="1:16" x14ac:dyDescent="0.2">
      <c r="A44">
        <v>168</v>
      </c>
      <c r="B44" s="3">
        <f>B7/MIN($B7,$E7,$H7,$K7,$N7)</f>
        <v>1</v>
      </c>
      <c r="C44" s="5">
        <f>C7</f>
        <v>134.533607959747</v>
      </c>
      <c r="D44" s="5">
        <f>D7</f>
        <v>0.90233102266141096</v>
      </c>
      <c r="E44" s="3">
        <f>E7/MIN($B7,$E7,$H7,$K7,$N7)</f>
        <v>1.2355223449038832</v>
      </c>
      <c r="F44" s="5">
        <f>F7</f>
        <v>139.36390958595899</v>
      </c>
      <c r="G44" s="5">
        <f>G7</f>
        <v>1.3221926509023001</v>
      </c>
      <c r="H44" s="3">
        <f>H7/MIN($B7,$E7,$H7,$K7,$N7)</f>
        <v>1.0315076902456966</v>
      </c>
      <c r="I44" s="5">
        <f>I7</f>
        <v>127.59612558182501</v>
      </c>
      <c r="J44" s="5">
        <f>J7</f>
        <v>0.99483268235595601</v>
      </c>
      <c r="K44" s="3">
        <f>K7/MIN($B7,$E7,$H7,$K7,$N7)</f>
        <v>1.0258528836538463</v>
      </c>
      <c r="L44" s="5">
        <f>L7</f>
        <v>140.136659007101</v>
      </c>
      <c r="M44" s="5">
        <f>M7</f>
        <v>1.2051372621018499</v>
      </c>
      <c r="N44" s="3">
        <f>N7/MIN($B7,$E7,$H7,$K7,$N7)</f>
        <v>1.1719796353919323</v>
      </c>
      <c r="O44" s="5">
        <f>O7</f>
        <v>179.170175751475</v>
      </c>
      <c r="P44" s="5">
        <f>P7</f>
        <v>0.99938861964085202</v>
      </c>
    </row>
    <row r="45" spans="1:16" x14ac:dyDescent="0.2">
      <c r="A45">
        <v>172</v>
      </c>
      <c r="B45" s="3">
        <f>B8/MIN($B8,$E8,$H8,$K8,$N8)</f>
        <v>1.232379064139993</v>
      </c>
      <c r="C45" s="5">
        <f>C8</f>
        <v>141.93568229675199</v>
      </c>
      <c r="D45" s="5">
        <f>D8</f>
        <v>0.79751030298711401</v>
      </c>
      <c r="E45" s="3">
        <f>E8/MIN($B8,$E8,$H8,$K8,$N8)</f>
        <v>1.1485654320746339</v>
      </c>
      <c r="F45" s="5">
        <f>F8</f>
        <v>122.744314063288</v>
      </c>
      <c r="G45" s="5">
        <f>G8</f>
        <v>0.78170999555890597</v>
      </c>
      <c r="H45" s="3">
        <f>H8/MIN($B8,$E8,$H8,$K8,$N8)</f>
        <v>1</v>
      </c>
      <c r="I45" s="5">
        <f>I8</f>
        <v>122.808226888313</v>
      </c>
      <c r="J45" s="5">
        <f>J8</f>
        <v>0.71389536040051205</v>
      </c>
      <c r="K45" s="3">
        <f>K8/MIN($B8,$E8,$H8,$K8,$N8)</f>
        <v>1.6118370170235106</v>
      </c>
      <c r="L45" s="5">
        <f>L8</f>
        <v>127.211726215261</v>
      </c>
      <c r="M45" s="5">
        <f>M8</f>
        <v>1.2379420011109401</v>
      </c>
      <c r="N45" s="3">
        <f>N8/MIN($B8,$E8,$H8,$K8,$N8)</f>
        <v>1.1100747462569993</v>
      </c>
      <c r="O45" s="5">
        <f>O8</f>
        <v>116.83069605411799</v>
      </c>
      <c r="P45" s="5">
        <f>P8</f>
        <v>0.67083441213885497</v>
      </c>
    </row>
    <row r="46" spans="1:16" x14ac:dyDescent="0.2">
      <c r="A46">
        <v>185</v>
      </c>
      <c r="B46" s="3">
        <f>B9/MIN($B9,$E9,$H9,$K9,$N9)</f>
        <v>1.1067107561287222</v>
      </c>
      <c r="C46" s="5">
        <f>C9</f>
        <v>105.790913105011</v>
      </c>
      <c r="D46" s="5">
        <f>D9</f>
        <v>0.86794365119793904</v>
      </c>
      <c r="E46" s="3">
        <f>E9/MIN($B9,$E9,$H9,$K9,$N9)</f>
        <v>1</v>
      </c>
      <c r="F46" s="5">
        <f>F9</f>
        <v>97.700367494684201</v>
      </c>
      <c r="G46" s="5">
        <f>G9</f>
        <v>0.85835183006424198</v>
      </c>
      <c r="H46" s="3">
        <f>H9/MIN($B9,$E9,$H9,$K9,$N9)</f>
        <v>1.0831287120412612</v>
      </c>
      <c r="I46" s="5">
        <f>I9</f>
        <v>101.38311930743301</v>
      </c>
      <c r="J46" s="5">
        <f>J9</f>
        <v>0.94736945226739799</v>
      </c>
      <c r="K46" s="3">
        <f>K9/MIN($B9,$E9,$H9,$K9,$N9)</f>
        <v>1.0442080118945667</v>
      </c>
      <c r="L46" s="5">
        <f>L9</f>
        <v>102.012653824537</v>
      </c>
      <c r="M46" s="5">
        <f>M9</f>
        <v>0.81913869197039901</v>
      </c>
      <c r="N46" s="3">
        <f>N9/MIN($B9,$E9,$H9,$K9,$N9)</f>
        <v>1.039818710255922</v>
      </c>
      <c r="O46" s="5">
        <f>O9</f>
        <v>99.889610764094499</v>
      </c>
      <c r="P46" s="5">
        <f>P9</f>
        <v>0.82063725481926897</v>
      </c>
    </row>
    <row r="47" spans="1:16" x14ac:dyDescent="0.2">
      <c r="A47">
        <v>195</v>
      </c>
      <c r="B47" s="3">
        <f>B10/MIN($B10,$E10,$H10,$K10,$N10)</f>
        <v>1.1641839185209011</v>
      </c>
      <c r="C47" s="5">
        <f>C10</f>
        <v>100.27847290039</v>
      </c>
      <c r="D47" s="5">
        <f>D10</f>
        <v>0.612292886813808</v>
      </c>
      <c r="E47" s="3">
        <f>E10/MIN($B10,$E10,$H10,$K10,$N10)</f>
        <v>1.02720905178316</v>
      </c>
      <c r="F47" s="5">
        <f>F10</f>
        <v>90.783409211563495</v>
      </c>
      <c r="G47" s="5">
        <f>G10</f>
        <v>0.52772235836524095</v>
      </c>
      <c r="H47" s="3">
        <f>H10/MIN($B10,$E10,$H10,$K10,$N10)</f>
        <v>1</v>
      </c>
      <c r="I47" s="5">
        <f>I10</f>
        <v>93.398764048114501</v>
      </c>
      <c r="J47" s="5">
        <f>J10</f>
        <v>0.53881367681778003</v>
      </c>
      <c r="K47" s="3">
        <f>K10/MIN($B10,$E10,$H10,$K10,$N10)</f>
        <v>1.0177459465457772</v>
      </c>
      <c r="L47" s="5">
        <f>L10</f>
        <v>90.595675127250601</v>
      </c>
      <c r="M47" s="5">
        <f>M10</f>
        <v>0.501536689590104</v>
      </c>
      <c r="N47" s="3">
        <f>N10/MIN($B10,$E10,$H10,$K10,$N10)</f>
        <v>1.0373959340397416</v>
      </c>
      <c r="O47" s="5">
        <f>O10</f>
        <v>91.083698721722499</v>
      </c>
      <c r="P47" s="5">
        <f>P10</f>
        <v>0.495615685774421</v>
      </c>
    </row>
    <row r="48" spans="1:16" x14ac:dyDescent="0.2">
      <c r="A48">
        <v>197</v>
      </c>
      <c r="B48" s="3">
        <f>B11/MIN($B11,$E11,$H11,$K11,$N11)</f>
        <v>1.0315366652871676</v>
      </c>
      <c r="C48" s="5">
        <f>C11</f>
        <v>135.22287607192899</v>
      </c>
      <c r="D48" s="5">
        <f>D11</f>
        <v>0.801289788903355</v>
      </c>
      <c r="E48" s="3">
        <f>E11/MIN($B11,$E11,$H11,$K11,$N11)</f>
        <v>1.0469189667742718</v>
      </c>
      <c r="F48" s="5">
        <f>F11</f>
        <v>139.818165296465</v>
      </c>
      <c r="G48" s="5">
        <f>G11</f>
        <v>0.83446832872863996</v>
      </c>
      <c r="H48" s="3">
        <f>H11/MIN($B11,$E11,$H11,$K11,$N11)</f>
        <v>1</v>
      </c>
      <c r="I48" s="5">
        <f>I11</f>
        <v>142.047964482895</v>
      </c>
      <c r="J48" s="5">
        <f>J11</f>
        <v>0.85863176182333101</v>
      </c>
      <c r="K48" s="3">
        <f>K11/MIN($B11,$E11,$H11,$K11,$N11)</f>
        <v>1.0209580368067317</v>
      </c>
      <c r="L48" s="5">
        <f>L11</f>
        <v>141.32142760825599</v>
      </c>
      <c r="M48" s="5">
        <f>M11</f>
        <v>0.73460932263509504</v>
      </c>
      <c r="N48" s="3">
        <f>N11/MIN($B11,$E11,$H11,$K11,$N11)</f>
        <v>1.0578657123377055</v>
      </c>
      <c r="O48" s="5">
        <f>O11</f>
        <v>131.53668696300301</v>
      </c>
      <c r="P48" s="5">
        <f>P11</f>
        <v>0.68675184771369402</v>
      </c>
    </row>
    <row r="49" spans="1:16" x14ac:dyDescent="0.2">
      <c r="A49">
        <v>237</v>
      </c>
      <c r="B49" s="3">
        <f>B12/MIN($B12,$E12,$H12,$K12,$N12)</f>
        <v>1.2536878392312651</v>
      </c>
      <c r="C49" s="5">
        <f>C12</f>
        <v>128.96717786788901</v>
      </c>
      <c r="D49" s="5">
        <f>D12</f>
        <v>0.84678073306768697</v>
      </c>
      <c r="E49" s="3">
        <f>E12/MIN($B12,$E12,$H12,$K12,$N12)</f>
        <v>1</v>
      </c>
      <c r="F49" s="5">
        <f>F12</f>
        <v>125.235767098729</v>
      </c>
      <c r="G49" s="5">
        <f>G12</f>
        <v>0.54339941350544196</v>
      </c>
      <c r="H49" s="3">
        <f>H12/MIN($B12,$E12,$H12,$K12,$N12)</f>
        <v>1.0846850943023338</v>
      </c>
      <c r="I49" s="5">
        <f>I12</f>
        <v>125.28874550019199</v>
      </c>
      <c r="J49" s="5">
        <f>J12</f>
        <v>0.77926430537486702</v>
      </c>
      <c r="K49" s="3">
        <f>K12/MIN($B12,$E12,$H12,$K12,$N12)</f>
        <v>1.0003529741302095</v>
      </c>
      <c r="L49" s="5">
        <f>L12</f>
        <v>126.40949548423499</v>
      </c>
      <c r="M49" s="5">
        <f>M12</f>
        <v>0.67923343306955397</v>
      </c>
      <c r="N49" s="3">
        <f>N12/MIN($B12,$E12,$H12,$K12,$N12)</f>
        <v>1.0525497533616164</v>
      </c>
      <c r="O49" s="5">
        <f>O12</f>
        <v>118.35840833572</v>
      </c>
      <c r="P49" s="5">
        <f>P12</f>
        <v>0.43673528338545198</v>
      </c>
    </row>
    <row r="50" spans="1:16" x14ac:dyDescent="0.2">
      <c r="A50">
        <v>272</v>
      </c>
      <c r="B50" s="3">
        <f>B13/MIN($B13,$E13,$H13,$K13,$N13)</f>
        <v>1.602108242401413</v>
      </c>
      <c r="C50" s="5">
        <f>C13</f>
        <v>160.721480846405</v>
      </c>
      <c r="D50" s="5">
        <f>D13</f>
        <v>1.08819501026668</v>
      </c>
      <c r="E50" s="3">
        <f>E13/MIN($B13,$E13,$H13,$K13,$N13)</f>
        <v>1.0579622223319574</v>
      </c>
      <c r="F50" s="5">
        <f>F13</f>
        <v>145.14119736861201</v>
      </c>
      <c r="G50" s="5">
        <f>G13</f>
        <v>0.84864270259796903</v>
      </c>
      <c r="H50" s="3">
        <f>H13/MIN($B13,$E13,$H13,$K13,$N13)</f>
        <v>1.0336219254384091</v>
      </c>
      <c r="I50" s="5">
        <f>I13</f>
        <v>140.53312531668101</v>
      </c>
      <c r="J50" s="5">
        <f>J13</f>
        <v>0.72158228083176901</v>
      </c>
      <c r="K50" s="3">
        <f>K13/MIN($B13,$E13,$H13,$K13,$N13)</f>
        <v>1</v>
      </c>
      <c r="L50" s="5">
        <f>L13</f>
        <v>147.45739950551999</v>
      </c>
      <c r="M50" s="5">
        <f>M13</f>
        <v>0.86092180042905897</v>
      </c>
      <c r="N50" s="3">
        <f>N13/MIN($B13,$E13,$H13,$K13,$N13)</f>
        <v>1.0719893116187433</v>
      </c>
      <c r="O50" s="5">
        <f>O13</f>
        <v>146.79681452717099</v>
      </c>
      <c r="P50" s="5">
        <f>P13</f>
        <v>0.90473134481388895</v>
      </c>
    </row>
    <row r="51" spans="1:16" x14ac:dyDescent="0.2">
      <c r="A51">
        <v>279</v>
      </c>
      <c r="B51" s="3">
        <f>B14/MIN($B14,$E14,$H14,$K14,$N14)</f>
        <v>1.3453923223168121</v>
      </c>
      <c r="C51" s="5">
        <f>C14</f>
        <v>107.76480436324999</v>
      </c>
      <c r="D51" s="5">
        <f>D14</f>
        <v>0.68590786656813896</v>
      </c>
      <c r="E51" s="3">
        <f>E14/MIN($B14,$E14,$H14,$K14,$N14)</f>
        <v>1</v>
      </c>
      <c r="F51" s="5">
        <f>F14</f>
        <v>91.364041413681093</v>
      </c>
      <c r="G51" s="5">
        <f>G14</f>
        <v>0.57707656543660402</v>
      </c>
      <c r="H51" s="3">
        <f>H14/MIN($B14,$E14,$H14,$K14,$N14)</f>
        <v>1.0367563046132802</v>
      </c>
      <c r="I51" s="5">
        <f>I14</f>
        <v>96.263876825395698</v>
      </c>
      <c r="J51" s="5">
        <f>J14</f>
        <v>0.55792859989425303</v>
      </c>
      <c r="K51" s="3">
        <f>K14/MIN($B14,$E14,$H14,$K14,$N14)</f>
        <v>1.9872715958506422</v>
      </c>
      <c r="L51" s="5">
        <f>L14</f>
        <v>134.539157493674</v>
      </c>
      <c r="M51" s="5">
        <f>M14</f>
        <v>1.2336176858808701</v>
      </c>
      <c r="N51" s="3">
        <f>N14/MIN($B14,$E14,$H14,$K14,$N14)</f>
        <v>1.1557564580919155</v>
      </c>
      <c r="O51" s="5">
        <f>O14</f>
        <v>87.221509627522806</v>
      </c>
      <c r="P51" s="5">
        <f>P14</f>
        <v>0.51968698166625704</v>
      </c>
    </row>
    <row r="52" spans="1:16" x14ac:dyDescent="0.2">
      <c r="A52">
        <v>709</v>
      </c>
      <c r="B52" s="3">
        <f>B15/MIN($B15,$E15,$H15,$K15,$N15)</f>
        <v>3.0999021327663057</v>
      </c>
      <c r="C52" s="5">
        <f>C15</f>
        <v>148.10541868209799</v>
      </c>
      <c r="D52" s="5">
        <f>D15</f>
        <v>4.9304986897459498E-2</v>
      </c>
      <c r="E52" s="3">
        <f>E15/MIN($B15,$E15,$H15,$K15,$N15)</f>
        <v>1.1276736436941863</v>
      </c>
      <c r="F52" s="5">
        <f>F15</f>
        <v>183.67090019803399</v>
      </c>
      <c r="G52" s="5">
        <f>G15</f>
        <v>1.2730766131148199E-2</v>
      </c>
      <c r="H52" s="3">
        <f>H15/MIN($B15,$E15,$H15,$K15,$N15)</f>
        <v>3.2833096256619339</v>
      </c>
      <c r="I52" s="5">
        <f>I15</f>
        <v>172.32681413464499</v>
      </c>
      <c r="J52" s="5">
        <f>J15</f>
        <v>5.3316921917418603E-2</v>
      </c>
      <c r="K52" s="3">
        <f>K15/MIN($B15,$E15,$H15,$K15,$N15)</f>
        <v>1</v>
      </c>
      <c r="L52" s="5">
        <f>L15</f>
        <v>131.625533938149</v>
      </c>
      <c r="M52" s="5">
        <f>M15</f>
        <v>1.2669780409114101E-2</v>
      </c>
      <c r="N52" s="3">
        <f>N15/MIN($B15,$E15,$H15,$K15,$N15)</f>
        <v>1.2972870309945888</v>
      </c>
      <c r="O52" s="5">
        <f>O15</f>
        <v>165.689076130659</v>
      </c>
      <c r="P52" s="5">
        <f>P15</f>
        <v>1.9752614426295199E-2</v>
      </c>
    </row>
    <row r="53" spans="1:16" x14ac:dyDescent="0.2">
      <c r="A53">
        <v>712</v>
      </c>
      <c r="B53" s="3">
        <f>B16/MIN($B16,$E16,$H16,$K16,$N16)</f>
        <v>1.6619470599913995</v>
      </c>
      <c r="C53" s="5">
        <f>C16</f>
        <v>157.79690742492599</v>
      </c>
      <c r="D53" s="5">
        <f>D16</f>
        <v>0.84778081625921797</v>
      </c>
      <c r="E53" s="3">
        <f>E16/MIN($B16,$E16,$H16,$K16,$N16)</f>
        <v>1.0980894880360246</v>
      </c>
      <c r="F53" s="5">
        <f>F16</f>
        <v>129.52510133865599</v>
      </c>
      <c r="G53" s="5">
        <f>G16</f>
        <v>0.66111218449446796</v>
      </c>
      <c r="H53" s="3">
        <f>H16/MIN($B16,$E16,$H16,$K16,$N16)</f>
        <v>1</v>
      </c>
      <c r="I53" s="5">
        <f>I16</f>
        <v>129.86613253282999</v>
      </c>
      <c r="J53" s="5">
        <f>J16</f>
        <v>0.59950067636486304</v>
      </c>
      <c r="K53" s="3">
        <f>K16/MIN($B16,$E16,$H16,$K16,$N16)</f>
        <v>1.5344028790150361</v>
      </c>
      <c r="L53" s="5">
        <f>L16</f>
        <v>136.05993429034399</v>
      </c>
      <c r="M53" s="5">
        <f>M16</f>
        <v>1.14453903655461</v>
      </c>
      <c r="N53" s="3">
        <f>N16/MIN($B16,$E16,$H16,$K16,$N16)</f>
        <v>1.0665767369806309</v>
      </c>
      <c r="O53" s="5">
        <f>O16</f>
        <v>130.45950276875001</v>
      </c>
      <c r="P53" s="5">
        <f>P16</f>
        <v>0.65397523004760705</v>
      </c>
    </row>
    <row r="54" spans="1:16" x14ac:dyDescent="0.2">
      <c r="A54">
        <v>714</v>
      </c>
      <c r="B54" s="3">
        <f>B17/MIN($B17,$E17,$H17,$K17,$N17)</f>
        <v>4.474998609520231</v>
      </c>
      <c r="C54" s="5">
        <f>C17</f>
        <v>161.92650794982899</v>
      </c>
      <c r="D54" s="5">
        <f>D17</f>
        <v>0.76336015697675697</v>
      </c>
      <c r="E54" s="3">
        <f>E17/MIN($B17,$E17,$H17,$K17,$N17)</f>
        <v>1</v>
      </c>
      <c r="F54" s="5">
        <f>F17</f>
        <v>115.85790890621099</v>
      </c>
      <c r="G54" s="5">
        <f>G17</f>
        <v>0.27313364596908402</v>
      </c>
      <c r="H54" s="3">
        <f>H17/MIN($B17,$E17,$H17,$K17,$N17)</f>
        <v>2.1961273788451345</v>
      </c>
      <c r="I54" s="5">
        <f>I17</f>
        <v>153.73584614045501</v>
      </c>
      <c r="J54" s="5">
        <f>J17</f>
        <v>0.60076193577617398</v>
      </c>
      <c r="K54" s="3">
        <f>K17/MIN($B17,$E17,$H17,$K17,$N17)</f>
        <v>1.1872604431023961</v>
      </c>
      <c r="L54" s="5">
        <f>L17</f>
        <v>166.09348876056001</v>
      </c>
      <c r="M54" s="5">
        <f>M17</f>
        <v>0.26884626140650603</v>
      </c>
      <c r="N54" s="3">
        <f>N17/MIN($B17,$E17,$H17,$K17,$N17)</f>
        <v>1.1600428998302927</v>
      </c>
      <c r="O54" s="5">
        <f>O17</f>
        <v>167.187631740547</v>
      </c>
      <c r="P54" s="5">
        <f>P17</f>
        <v>0.27757452162261498</v>
      </c>
    </row>
    <row r="55" spans="1:16" x14ac:dyDescent="0.2">
      <c r="A55">
        <v>722</v>
      </c>
      <c r="B55" s="3">
        <f>B18/MIN($B18,$E18,$H18,$K18,$N18)</f>
        <v>1.4175943051182742</v>
      </c>
      <c r="C55" s="5">
        <f>C18</f>
        <v>114.43694829940701</v>
      </c>
      <c r="D55" s="5">
        <f>D18</f>
        <v>0.89557879745688496</v>
      </c>
      <c r="E55" s="3">
        <f>E18/MIN($B18,$E18,$H18,$K18,$N18)</f>
        <v>1.2504770974060622</v>
      </c>
      <c r="F55" s="5">
        <f>F18</f>
        <v>119.58094322038301</v>
      </c>
      <c r="G55" s="5">
        <f>G18</f>
        <v>0.83321798769566302</v>
      </c>
      <c r="H55" s="3">
        <f>H18/MIN($B18,$E18,$H18,$K18,$N18)</f>
        <v>1</v>
      </c>
      <c r="I55" s="5">
        <f>I18</f>
        <v>109.250779576876</v>
      </c>
      <c r="J55" s="5">
        <f>J18</f>
        <v>0.63047882430604796</v>
      </c>
      <c r="K55" s="3">
        <f>K18/MIN($B18,$E18,$H18,$K18,$N18)</f>
        <v>1.0837265643203979</v>
      </c>
      <c r="L55" s="5">
        <f>L18</f>
        <v>117.012596185726</v>
      </c>
      <c r="M55" s="5">
        <f>M18</f>
        <v>0.74829971203462997</v>
      </c>
      <c r="N55" s="3">
        <f>N18/MIN($B18,$E18,$H18,$K18,$N18)</f>
        <v>1.2385183833029521</v>
      </c>
      <c r="O55" s="5">
        <f>O18</f>
        <v>117.804225473881</v>
      </c>
      <c r="P55" s="5">
        <f>P18</f>
        <v>0.74260296428783901</v>
      </c>
    </row>
    <row r="56" spans="1:16" x14ac:dyDescent="0.2">
      <c r="A56">
        <v>724</v>
      </c>
      <c r="B56" s="3">
        <f>B19/MIN($B19,$E19,$H19,$K19,$N19)</f>
        <v>1.4174930388111979</v>
      </c>
      <c r="C56" s="5">
        <f>C19</f>
        <v>73.588114976882906</v>
      </c>
      <c r="D56" s="5">
        <f>D19</f>
        <v>0.94089414480312705</v>
      </c>
      <c r="E56" s="3">
        <f>E19/MIN($B19,$E19,$H19,$K19,$N19)</f>
        <v>1.092496169991636</v>
      </c>
      <c r="F56" s="5">
        <f>F19</f>
        <v>62.0953075805023</v>
      </c>
      <c r="G56" s="5">
        <f>G19</f>
        <v>0.76970395255276502</v>
      </c>
      <c r="H56" s="3">
        <f>H19/MIN($B19,$E19,$H19,$K19,$N19)</f>
        <v>1</v>
      </c>
      <c r="I56" s="5">
        <f>I19</f>
        <v>58.591876326618802</v>
      </c>
      <c r="J56" s="5">
        <f>J19</f>
        <v>0.69524061937197101</v>
      </c>
      <c r="K56" s="3">
        <f>K19/MIN($B19,$E19,$H19,$K19,$N19)</f>
        <v>1.0134014770968549</v>
      </c>
      <c r="L56" s="5">
        <f>L19</f>
        <v>61.652909671728601</v>
      </c>
      <c r="M56" s="5">
        <f>M19</f>
        <v>0.70514233564600304</v>
      </c>
      <c r="N56" s="3">
        <f>N19/MIN($B19,$E19,$H19,$K19,$N19)</f>
        <v>1.0631261336205977</v>
      </c>
      <c r="O56" s="5">
        <f>O19</f>
        <v>62.767546818628801</v>
      </c>
      <c r="P56" s="5">
        <f>P19</f>
        <v>0.77652775859300305</v>
      </c>
    </row>
    <row r="57" spans="1:16" x14ac:dyDescent="0.2">
      <c r="A57">
        <v>749</v>
      </c>
      <c r="B57" s="3">
        <f>B20/MIN($B20,$E20,$H20,$K20,$N20)</f>
        <v>3.4784842541656085</v>
      </c>
      <c r="C57" s="5">
        <f>C20</f>
        <v>135.98675727844201</v>
      </c>
      <c r="D57" s="5">
        <f>D20</f>
        <v>2.33387083178481</v>
      </c>
      <c r="E57" s="3">
        <f>E20/MIN($B20,$E20,$H20,$K20,$N20)</f>
        <v>1</v>
      </c>
      <c r="F57" s="5">
        <f>F20</f>
        <v>104.79200705662301</v>
      </c>
      <c r="G57" s="5">
        <f>G20</f>
        <v>0.67526558216079302</v>
      </c>
      <c r="H57" s="3">
        <f>H20/MIN($B20,$E20,$H20,$K20,$N20)</f>
        <v>1.2080810628357623</v>
      </c>
      <c r="I57" s="5">
        <f>I20</f>
        <v>129.670718190847</v>
      </c>
      <c r="J57" s="5">
        <f>J20</f>
        <v>0.954971992494694</v>
      </c>
      <c r="K57" s="3">
        <f>K20/MIN($B20,$E20,$H20,$K20,$N20)</f>
        <v>1.2427643796875658</v>
      </c>
      <c r="L57" s="5">
        <f>L20</f>
        <v>129.52558572511299</v>
      </c>
      <c r="M57" s="5">
        <f>M20</f>
        <v>1.02392366337436</v>
      </c>
      <c r="N57" s="3">
        <f>N20/MIN($B20,$E20,$H20,$K20,$N20)</f>
        <v>1.533077381062139</v>
      </c>
      <c r="O57" s="5">
        <f>O20</f>
        <v>114.363749849705</v>
      </c>
      <c r="P57" s="5">
        <f>P20</f>
        <v>1.0758796630065199</v>
      </c>
    </row>
    <row r="58" spans="1:16" x14ac:dyDescent="0.2">
      <c r="A58">
        <v>777</v>
      </c>
      <c r="B58" s="3">
        <f>B21/MIN($B21,$E21,$H21,$K21,$N21)</f>
        <v>1.9537958633504739</v>
      </c>
      <c r="C58" s="5">
        <f>C21</f>
        <v>155.18862009048399</v>
      </c>
      <c r="D58" s="5">
        <f>D21</f>
        <v>1.34360146817406</v>
      </c>
      <c r="E58" s="3">
        <f>E21/MIN($B21,$E21,$H21,$K21,$N21)</f>
        <v>1.0204468299244944</v>
      </c>
      <c r="F58" s="5">
        <f>F21</f>
        <v>148.45549180987899</v>
      </c>
      <c r="G58" s="5">
        <f>G21</f>
        <v>0.83128728193778301</v>
      </c>
      <c r="H58" s="3">
        <f>H21/MIN($B21,$E21,$H21,$K21,$N21)</f>
        <v>1.0817058701361257</v>
      </c>
      <c r="I58" s="5">
        <f>I21</f>
        <v>146.742367540907</v>
      </c>
      <c r="J58" s="5">
        <f>J21</f>
        <v>0.90710975487527301</v>
      </c>
      <c r="K58" s="3">
        <f>K21/MIN($B21,$E21,$H21,$K21,$N21)</f>
        <v>1</v>
      </c>
      <c r="L58" s="5">
        <f>L21</f>
        <v>151.4303955096</v>
      </c>
      <c r="M58" s="5">
        <f>M21</f>
        <v>0.74426273944601395</v>
      </c>
      <c r="N58" s="3">
        <f>N21/MIN($B21,$E21,$H21,$K21,$N21)</f>
        <v>1.0012334748576712</v>
      </c>
      <c r="O58" s="5">
        <f>O21</f>
        <v>155.09911749454801</v>
      </c>
      <c r="P58" s="5">
        <f>P21</f>
        <v>0.55751920335039895</v>
      </c>
    </row>
    <row r="59" spans="1:16" x14ac:dyDescent="0.2">
      <c r="A59" s="23">
        <v>782</v>
      </c>
      <c r="B59" s="3">
        <f>B22/MIN($B22,$E22,$H22,$K22,$N22)</f>
        <v>1.3407833873506474</v>
      </c>
      <c r="C59" s="5">
        <f>C22</f>
        <v>134.24704074859599</v>
      </c>
      <c r="D59" s="5">
        <f>D22</f>
        <v>1.02902478281842</v>
      </c>
      <c r="E59" s="3">
        <f>E22/MIN($B22,$E22,$H22,$K22,$N22)</f>
        <v>1.0464805779307897</v>
      </c>
      <c r="F59" s="5">
        <f>F22</f>
        <v>117.390931991899</v>
      </c>
      <c r="G59" s="5">
        <f>G22</f>
        <v>0.705667132586836</v>
      </c>
      <c r="H59" s="3">
        <f>H22/MIN($B22,$E22,$H22,$K22,$N22)</f>
        <v>1.0426314755131487</v>
      </c>
      <c r="I59" s="5">
        <f>I22</f>
        <v>112.962806987135</v>
      </c>
      <c r="J59" s="5">
        <f>J22</f>
        <v>0.73050986092447401</v>
      </c>
      <c r="K59" s="3">
        <f>K22/MIN($B22,$E22,$H22,$K22,$N22)</f>
        <v>1</v>
      </c>
      <c r="L59" s="5">
        <f>L22</f>
        <v>113.65317968941299</v>
      </c>
      <c r="M59" s="5">
        <f>M22</f>
        <v>0.694242166555609</v>
      </c>
      <c r="N59" s="3">
        <f>N22/MIN($B22,$E22,$H22,$K22,$N22)</f>
        <v>1.0161679758805626</v>
      </c>
      <c r="O59" s="5">
        <f>O22</f>
        <v>113.708431768902</v>
      </c>
      <c r="P59" s="5">
        <f>P22</f>
        <v>0.75896012347300801</v>
      </c>
    </row>
    <row r="60" spans="1:16" x14ac:dyDescent="0.2">
      <c r="A60" s="23">
        <v>792</v>
      </c>
      <c r="B60" s="3">
        <f>B23/MIN($B23,$E23,$H23,$K23,$N23)</f>
        <v>1.0835742394068208</v>
      </c>
      <c r="C60" s="5">
        <f>C23</f>
        <v>101.000761985778</v>
      </c>
      <c r="D60" s="5">
        <f>D23</f>
        <v>0.82520516930769405</v>
      </c>
      <c r="E60" s="3">
        <f>E23/MIN($B23,$E23,$H23,$K23,$N23)</f>
        <v>1</v>
      </c>
      <c r="F60" s="5">
        <f>F23</f>
        <v>95.898137138436098</v>
      </c>
      <c r="G60" s="5">
        <f>G23</f>
        <v>0.84458714262376</v>
      </c>
      <c r="H60" s="3">
        <f>H23/MIN($B23,$E23,$H23,$K23,$N23)</f>
        <v>1.0175721842157504</v>
      </c>
      <c r="I60" s="5">
        <f>I23</f>
        <v>98.536418561422806</v>
      </c>
      <c r="J60" s="5">
        <f>J23</f>
        <v>0.82754616557826399</v>
      </c>
      <c r="K60" s="3">
        <f>K23/MIN($B23,$E23,$H23,$K23,$N23)</f>
        <v>1.019459024771703</v>
      </c>
      <c r="L60" s="5">
        <f>L23</f>
        <v>95.696308717255803</v>
      </c>
      <c r="M60" s="5">
        <f>M23</f>
        <v>0.85973185158580701</v>
      </c>
      <c r="N60" s="3">
        <f>N23/MIN($B23,$E23,$H23,$K23,$N23)</f>
        <v>1.0046775773849081</v>
      </c>
      <c r="O60" s="5">
        <f>O23</f>
        <v>92.537055675778305</v>
      </c>
      <c r="P60" s="5">
        <f>P23</f>
        <v>0.83039650507487595</v>
      </c>
    </row>
    <row r="61" spans="1:16" x14ac:dyDescent="0.2">
      <c r="A61" s="23">
        <v>804</v>
      </c>
      <c r="B61" s="3">
        <f>B24/MIN($B24,$E24,$H24,$K24,$N24)</f>
        <v>1.3364032219372333</v>
      </c>
      <c r="C61" s="5">
        <f>C24</f>
        <v>151.24042034149099</v>
      </c>
      <c r="D61" s="5">
        <f>D24</f>
        <v>0.711536585278008</v>
      </c>
      <c r="E61" s="3">
        <f>E24/MIN($B24,$E24,$H24,$K24,$N24)</f>
        <v>1.2617406912733935</v>
      </c>
      <c r="F61" s="5">
        <f>F24</f>
        <v>121.618919795236</v>
      </c>
      <c r="G61" s="5">
        <f>G24</f>
        <v>0.80897774369873499</v>
      </c>
      <c r="H61" s="3">
        <f>H24/MIN($B24,$E24,$H24,$K24,$N24)</f>
        <v>1</v>
      </c>
      <c r="I61" s="5">
        <f>I24</f>
        <v>134.019166085092</v>
      </c>
      <c r="J61" s="5">
        <f>J24</f>
        <v>0.65231847555288303</v>
      </c>
      <c r="K61" s="3">
        <f>K24/MIN($B24,$E24,$H24,$K24,$N24)</f>
        <v>1.2889725442345037</v>
      </c>
      <c r="L61" s="5">
        <f>L24</f>
        <v>142.951133280585</v>
      </c>
      <c r="M61" s="5">
        <f>M24</f>
        <v>0.90336385066507896</v>
      </c>
      <c r="N61" s="3">
        <f>N24/MIN($B24,$E24,$H24,$K24,$N24)</f>
        <v>1.2074628680757371</v>
      </c>
      <c r="O61" s="5">
        <f>O24</f>
        <v>138.97495393693299</v>
      </c>
      <c r="P61" s="5">
        <f>P24</f>
        <v>0.81326929445087903</v>
      </c>
    </row>
    <row r="62" spans="1:16" x14ac:dyDescent="0.2">
      <c r="A62" s="23">
        <v>812</v>
      </c>
      <c r="B62" s="3">
        <f>B25/MIN($B25,$E25,$H25,$K25,$N25)</f>
        <v>1.1655746148594694</v>
      </c>
      <c r="C62" s="5">
        <f>C25</f>
        <v>107.354998588562</v>
      </c>
      <c r="D62" s="5">
        <f>D25</f>
        <v>2.1270738411066898</v>
      </c>
      <c r="E62" s="3">
        <f>E25/MIN($B25,$E25,$H25,$K25,$N25)</f>
        <v>1.0436338046533227</v>
      </c>
      <c r="F62" s="5">
        <f>F25</f>
        <v>87.441142348662893</v>
      </c>
      <c r="G62" s="5">
        <f>G25</f>
        <v>1.9372161433797701</v>
      </c>
      <c r="H62" s="3">
        <f>H25/MIN($B25,$E25,$H25,$K25,$N25)</f>
        <v>1</v>
      </c>
      <c r="I62" s="5">
        <f>I25</f>
        <v>90.581578955940302</v>
      </c>
      <c r="J62" s="5">
        <f>J25</f>
        <v>1.9910101010405099</v>
      </c>
      <c r="K62" s="3">
        <f>K25/MIN($B25,$E25,$H25,$K25,$N25)</f>
        <v>1.0283054512324248</v>
      </c>
      <c r="L62" s="5">
        <f>L25</f>
        <v>96.065488444122295</v>
      </c>
      <c r="M62" s="5">
        <f>M25</f>
        <v>2.3360997152908398</v>
      </c>
      <c r="N62" s="3">
        <f>N25/MIN($B25,$E25,$H25,$K25,$N25)</f>
        <v>1.0198149272385102</v>
      </c>
      <c r="O62" s="5">
        <f>O25</f>
        <v>85.455802916130196</v>
      </c>
      <c r="P62" s="5">
        <f>P25</f>
        <v>1.7611956792231001</v>
      </c>
    </row>
    <row r="63" spans="1:16" x14ac:dyDescent="0.2">
      <c r="A63" s="23">
        <v>816</v>
      </c>
      <c r="B63" s="3">
        <f>B26/MIN($B26,$E26,$H26,$K26,$N26)</f>
        <v>5.8256880764486496</v>
      </c>
      <c r="C63" s="5">
        <f>C26</f>
        <v>170.700025558471</v>
      </c>
      <c r="D63" s="5">
        <f>D26</f>
        <v>1.0180786846593599</v>
      </c>
      <c r="E63" s="3">
        <f>E26/MIN($B26,$E26,$H26,$K26,$N26)</f>
        <v>2.1581633593113372</v>
      </c>
      <c r="F63" s="5">
        <f>F26</f>
        <v>163.98991841072501</v>
      </c>
      <c r="G63" s="5">
        <f>G26</f>
        <v>0.36798252511766899</v>
      </c>
      <c r="H63" s="3">
        <f>H26/MIN($B26,$E26,$H26,$K26,$N26)</f>
        <v>3.7736598177485083</v>
      </c>
      <c r="I63" s="5">
        <f>I26</f>
        <v>182.741074829333</v>
      </c>
      <c r="J63" s="5">
        <f>J26</f>
        <v>0.69167648083233402</v>
      </c>
      <c r="K63" s="3">
        <f>K26/MIN($B26,$E26,$H26,$K26,$N26)</f>
        <v>3.0351823976129331</v>
      </c>
      <c r="L63" s="5">
        <f>L26</f>
        <v>174.81824742281299</v>
      </c>
      <c r="M63" s="5">
        <f>M26</f>
        <v>0.57521048214388704</v>
      </c>
      <c r="N63" s="3">
        <f>N26/MIN($B26,$E26,$H26,$K26,$N26)</f>
        <v>1</v>
      </c>
      <c r="O63" s="5">
        <f>O26</f>
        <v>164.85188379642199</v>
      </c>
      <c r="P63" s="5">
        <f>P26</f>
        <v>0.17315616923772401</v>
      </c>
    </row>
    <row r="64" spans="1:16" x14ac:dyDescent="0.2">
      <c r="A64">
        <v>822</v>
      </c>
      <c r="B64" s="3">
        <f>B27/MIN($B27,$E27,$H27,$K27,$N27)</f>
        <v>1.3442837957755378</v>
      </c>
      <c r="C64" s="5">
        <f>C27</f>
        <v>128.730583190917</v>
      </c>
      <c r="D64" s="5">
        <f>D27</f>
        <v>0.78078267739176499</v>
      </c>
      <c r="E64" s="3">
        <f>E27/MIN($B27,$E27,$H27,$K27,$N27)</f>
        <v>1.2298589446478976</v>
      </c>
      <c r="F64" s="5">
        <f>F27</f>
        <v>117.853039235164</v>
      </c>
      <c r="G64" s="5">
        <f>G27</f>
        <v>0.73394217883056201</v>
      </c>
      <c r="H64" s="3">
        <f>H27/MIN($B27,$E27,$H27,$K27,$N27)</f>
        <v>1</v>
      </c>
      <c r="I64" s="5">
        <f>I27</f>
        <v>117.105509813292</v>
      </c>
      <c r="J64" s="5">
        <f>J27</f>
        <v>0.652956932885284</v>
      </c>
      <c r="K64" s="3">
        <f>K27/MIN($B27,$E27,$H27,$K27,$N27)</f>
        <v>1.123805996699859</v>
      </c>
      <c r="L64" s="5">
        <f>L27</f>
        <v>111.32031623325901</v>
      </c>
      <c r="M64" s="5">
        <f>M27</f>
        <v>0.80688244969138501</v>
      </c>
      <c r="N64" s="3">
        <f>N27/MIN($B27,$E27,$H27,$K27,$N27)</f>
        <v>1.2668858310795412</v>
      </c>
      <c r="O64" s="5">
        <f>O27</f>
        <v>157.36017932913501</v>
      </c>
      <c r="P64" s="5">
        <f>P27</f>
        <v>0.77133918111506905</v>
      </c>
    </row>
    <row r="65" spans="1:16" x14ac:dyDescent="0.2">
      <c r="A65">
        <v>827</v>
      </c>
      <c r="B65" s="3">
        <f>B28/MIN($B28,$E28,$H28,$K28,$N28)</f>
        <v>1</v>
      </c>
      <c r="C65" s="5">
        <f>C28</f>
        <v>97.1417009830474</v>
      </c>
      <c r="D65" s="5">
        <f>D28</f>
        <v>1.1226299152989001</v>
      </c>
      <c r="E65" s="3">
        <f>E28/MIN($B28,$E28,$H28,$K28,$N28)</f>
        <v>1.1726781755247813</v>
      </c>
      <c r="F65" s="5">
        <f>F28</f>
        <v>103.70931982881601</v>
      </c>
      <c r="G65" s="5">
        <f>G28</f>
        <v>1.34332111269333</v>
      </c>
      <c r="H65" s="3">
        <f>H28/MIN($B28,$E28,$H28,$K28,$N28)</f>
        <v>1.0661443603523177</v>
      </c>
      <c r="I65" s="5">
        <f>I28</f>
        <v>94.6161035174636</v>
      </c>
      <c r="J65" s="5">
        <f>J28</f>
        <v>1.0789454153507101</v>
      </c>
      <c r="K65" s="3">
        <f>K28/MIN($B28,$E28,$H28,$K28,$N28)</f>
        <v>1.238890289202119</v>
      </c>
      <c r="L65" s="5">
        <f>L28</f>
        <v>119.406263343285</v>
      </c>
      <c r="M65" s="5">
        <f>M28</f>
        <v>1.3222230101291199</v>
      </c>
      <c r="N65" s="3">
        <f>N28/MIN($B28,$E28,$H28,$K28,$N28)</f>
        <v>1.0427802860100956</v>
      </c>
      <c r="O65" s="5">
        <f>O28</f>
        <v>96.866956053717303</v>
      </c>
      <c r="P65" s="5">
        <f>P28</f>
        <v>1.09730217815208</v>
      </c>
    </row>
    <row r="66" spans="1:16" x14ac:dyDescent="0.2">
      <c r="A66">
        <v>838</v>
      </c>
      <c r="B66" s="3">
        <f>B29/MIN($B29,$E29,$H29,$K29,$N29)</f>
        <v>1.6657278904247839</v>
      </c>
      <c r="C66" s="5">
        <f>C29</f>
        <v>108.681595325469</v>
      </c>
      <c r="D66" s="5">
        <f>D29</f>
        <v>1.30369144203791</v>
      </c>
      <c r="E66" s="3">
        <f>E29/MIN($B29,$E29,$H29,$K29,$N29)</f>
        <v>1.1465373300553376</v>
      </c>
      <c r="F66" s="5">
        <f>F29</f>
        <v>96.573023574976304</v>
      </c>
      <c r="G66" s="5">
        <f>G29</f>
        <v>1.0686986186384599</v>
      </c>
      <c r="H66" s="3">
        <f>H29/MIN($B29,$E29,$H29,$K29,$N29)</f>
        <v>1</v>
      </c>
      <c r="I66" s="5">
        <f>I29</f>
        <v>91.475531133282999</v>
      </c>
      <c r="J66" s="5">
        <f>J29</f>
        <v>0.94165641135638001</v>
      </c>
      <c r="K66" s="3">
        <f>K29/MIN($B29,$E29,$H29,$K29,$N29)</f>
        <v>1.5677632390527838</v>
      </c>
      <c r="L66" s="5">
        <f>L29</f>
        <v>95.878669679475706</v>
      </c>
      <c r="M66" s="5">
        <f>M29</f>
        <v>1.3479358000381301</v>
      </c>
      <c r="N66" s="3">
        <f>N29/MIN($B29,$E29,$H29,$K29,$N29)</f>
        <v>1.1724712986953989</v>
      </c>
      <c r="O66" s="5">
        <f>O29</f>
        <v>93.356380589594096</v>
      </c>
      <c r="P66" s="5">
        <f>P29</f>
        <v>1.0638496429469499</v>
      </c>
    </row>
    <row r="67" spans="1:16" x14ac:dyDescent="0.2">
      <c r="A67">
        <v>876</v>
      </c>
      <c r="B67" s="3">
        <f>B30/MIN($B30,$E30,$H30,$K30,$N30)</f>
        <v>1.3419411216922501</v>
      </c>
      <c r="C67" s="5">
        <f>C30</f>
        <v>200</v>
      </c>
      <c r="D67" s="5">
        <f>D30</f>
        <v>0.41158551801791898</v>
      </c>
      <c r="E67" s="3">
        <f>E30/MIN($B30,$E30,$H30,$K30,$N30)</f>
        <v>1.2214261683807737</v>
      </c>
      <c r="F67" s="5">
        <f>F30</f>
        <v>200</v>
      </c>
      <c r="G67" s="5">
        <f>G30</f>
        <v>0.37462249153620603</v>
      </c>
      <c r="H67" s="3">
        <f>H30/MIN($B30,$E30,$H30,$K30,$N30)</f>
        <v>2.0074897787330293</v>
      </c>
      <c r="I67" s="5">
        <f>I30</f>
        <v>200</v>
      </c>
      <c r="J67" s="5">
        <f>J30</f>
        <v>0.61571533516382304</v>
      </c>
      <c r="K67" s="3">
        <f>K30/MIN($B30,$E30,$H30,$K30,$N30)</f>
        <v>1.9443049997668325</v>
      </c>
      <c r="L67" s="5">
        <f>L30</f>
        <v>200</v>
      </c>
      <c r="M67" s="5">
        <f>M30</f>
        <v>0.59633598998828896</v>
      </c>
      <c r="N67" s="3">
        <f>N30/MIN($B30,$E30,$H30,$K30,$N30)</f>
        <v>1</v>
      </c>
      <c r="O67" s="5">
        <f>O30</f>
        <v>200</v>
      </c>
      <c r="P67" s="5">
        <f>P30</f>
        <v>0.30670907602449499</v>
      </c>
    </row>
    <row r="68" spans="1:16" x14ac:dyDescent="0.2">
      <c r="A68">
        <v>877</v>
      </c>
      <c r="B68" s="3">
        <f>B31/MIN($B31,$E31,$H31,$K31,$N31)</f>
        <v>1.8300423959726666</v>
      </c>
      <c r="C68" s="5">
        <f>C31</f>
        <v>182.30940103530801</v>
      </c>
      <c r="D68" s="5">
        <f>D31</f>
        <v>1.09305734132226</v>
      </c>
      <c r="E68" s="3">
        <f>E31/MIN($B31,$E31,$H31,$K31,$N31)</f>
        <v>1</v>
      </c>
      <c r="F68" s="5">
        <f>F31</f>
        <v>166.113674015681</v>
      </c>
      <c r="G68" s="5">
        <f>G31</f>
        <v>0.497582408090738</v>
      </c>
      <c r="H68" s="3">
        <f>H31/MIN($B31,$E31,$H31,$K31,$N31)</f>
        <v>1.0508231046247787</v>
      </c>
      <c r="I68" s="5">
        <f>I31</f>
        <v>173.62356539236001</v>
      </c>
      <c r="J68" s="5">
        <f>J31</f>
        <v>0.64587187802060797</v>
      </c>
      <c r="K68" s="3">
        <f>K31/MIN($B31,$E31,$H31,$K31,$N31)</f>
        <v>1.3022897398613058</v>
      </c>
      <c r="L68" s="5">
        <f>L31</f>
        <v>175.606830055313</v>
      </c>
      <c r="M68" s="5">
        <f>M31</f>
        <v>0.98251024910030504</v>
      </c>
      <c r="N68" s="3">
        <f>N31/MIN($B31,$E31,$H31,$K31,$N31)</f>
        <v>1.240713366998365</v>
      </c>
      <c r="O68" s="5">
        <f>O31</f>
        <v>172.63606387234901</v>
      </c>
      <c r="P68" s="5">
        <f>P31</f>
        <v>0.55986567669172005</v>
      </c>
    </row>
    <row r="69" spans="1:16" x14ac:dyDescent="0.2">
      <c r="A69">
        <v>888</v>
      </c>
      <c r="B69" s="3">
        <f>B32/MIN($B32,$E32,$H32,$K32,$N32)</f>
        <v>1</v>
      </c>
      <c r="C69" s="5">
        <f>C32</f>
        <v>118.823540210723</v>
      </c>
      <c r="D69" s="5">
        <f>D32</f>
        <v>0.53876641136558301</v>
      </c>
      <c r="E69" s="3">
        <f>E32/MIN($B32,$E32,$H32,$K32,$N32)</f>
        <v>1.0285979310924602</v>
      </c>
      <c r="F69" s="5">
        <f>F32</f>
        <v>96.403316844402696</v>
      </c>
      <c r="G69" s="5">
        <f>G32</f>
        <v>0.54947203951392798</v>
      </c>
      <c r="H69" s="3">
        <f>H32/MIN($B32,$E32,$H32,$K32,$N32)</f>
        <v>1.1218282177280314</v>
      </c>
      <c r="I69" s="5">
        <f>I32</f>
        <v>93.179518025305896</v>
      </c>
      <c r="J69" s="5">
        <f>J32</f>
        <v>0.58662983767029897</v>
      </c>
      <c r="K69" s="3">
        <f>K32/MIN($B32,$E32,$H32,$K32,$N32)</f>
        <v>1.0467478298897241</v>
      </c>
      <c r="L69" s="5">
        <f>L32</f>
        <v>91.169419769093594</v>
      </c>
      <c r="M69" s="5">
        <f>M32</f>
        <v>0.56863515759374705</v>
      </c>
      <c r="N69" s="3">
        <f>N32/MIN($B32,$E32,$H32,$K32,$N32)</f>
        <v>1.0348572482653153</v>
      </c>
      <c r="O69" s="5">
        <f>O32</f>
        <v>90.298901489084301</v>
      </c>
      <c r="P69" s="5">
        <f>P32</f>
        <v>0.477146684474335</v>
      </c>
    </row>
    <row r="70" spans="1:16" x14ac:dyDescent="0.2">
      <c r="A70">
        <v>890</v>
      </c>
      <c r="B70" s="3">
        <f>B33/MIN($B33,$E33,$H33,$K33,$N33)</f>
        <v>1.503335513335857</v>
      </c>
      <c r="C70" s="5">
        <f>C33</f>
        <v>72.802174091339097</v>
      </c>
      <c r="D70" s="5">
        <f>D33</f>
        <v>0.78915928523818901</v>
      </c>
      <c r="E70" s="3">
        <f>E33/MIN($B33,$E33,$H33,$K33,$N33)</f>
        <v>1.0532949423517055</v>
      </c>
      <c r="F70" s="5">
        <f>F33</f>
        <v>62.753118508957797</v>
      </c>
      <c r="G70" s="5">
        <f>G33</f>
        <v>0.48869321768125001</v>
      </c>
      <c r="H70" s="3">
        <f>H33/MIN($B33,$E33,$H33,$K33,$N33)</f>
        <v>1</v>
      </c>
      <c r="I70" s="5">
        <f>I33</f>
        <v>58.8459690632248</v>
      </c>
      <c r="J70" s="5">
        <f>J33</f>
        <v>0.54997561970958797</v>
      </c>
      <c r="K70" s="3">
        <f>K33/MIN($B33,$E33,$H33,$K33,$N33)</f>
        <v>1.1442222048777984</v>
      </c>
      <c r="L70" s="5">
        <f>L33</f>
        <v>62.1876072531294</v>
      </c>
      <c r="M70" s="5">
        <f>M33</f>
        <v>0.55587990892998795</v>
      </c>
      <c r="N70" s="3">
        <f>N33/MIN($B33,$E33,$H33,$K33,$N33)</f>
        <v>1.7153326701160592</v>
      </c>
      <c r="O70" s="5">
        <f>O33</f>
        <v>114.697094791045</v>
      </c>
      <c r="P70" s="5">
        <f>P33</f>
        <v>0.85633298653040602</v>
      </c>
    </row>
    <row r="71" spans="1:16" ht="68" x14ac:dyDescent="0.2">
      <c r="A71" s="2" t="s">
        <v>81</v>
      </c>
      <c r="B71" s="3">
        <f>AVERAGE(B39:B70)</f>
        <v>1.8451075754066346</v>
      </c>
      <c r="C71" s="10">
        <f t="shared" ref="C71:P71" si="2">AVERAGE(C39:C70)</f>
        <v>131.73583382740571</v>
      </c>
      <c r="D71" s="10">
        <f t="shared" si="2"/>
        <v>0.96651427835208148</v>
      </c>
      <c r="E71" s="3">
        <f t="shared" si="2"/>
        <v>1.1377282709552297</v>
      </c>
      <c r="F71" s="10">
        <f t="shared" si="2"/>
        <v>122.5762731622614</v>
      </c>
      <c r="G71" s="10">
        <f t="shared" si="2"/>
        <v>0.73957392432502678</v>
      </c>
      <c r="H71" s="3">
        <f t="shared" si="2"/>
        <v>1.3097853222844251</v>
      </c>
      <c r="I71" s="10">
        <f t="shared" si="2"/>
        <v>123.83458794786475</v>
      </c>
      <c r="J71" s="10">
        <f t="shared" si="2"/>
        <v>0.76614793613793386</v>
      </c>
      <c r="K71" s="3">
        <f t="shared" si="2"/>
        <v>1.2554937352114384</v>
      </c>
      <c r="L71" s="10">
        <f t="shared" si="2"/>
        <v>126.13396742406903</v>
      </c>
      <c r="M71" s="10">
        <f t="shared" si="2"/>
        <v>0.8465994134058209</v>
      </c>
      <c r="N71" s="3">
        <f t="shared" si="2"/>
        <v>1.1225204962027207</v>
      </c>
      <c r="O71" s="10">
        <f t="shared" si="2"/>
        <v>126.94019519630828</v>
      </c>
      <c r="P71" s="10">
        <f t="shared" si="2"/>
        <v>0.69095580878617646</v>
      </c>
    </row>
  </sheetData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B80C-7082-1A4E-BEB4-15DF6DFFDF9A}">
  <dimension ref="A1:R72"/>
  <sheetViews>
    <sheetView topLeftCell="A2" workbookViewId="0">
      <selection activeCell="G74" sqref="G74"/>
    </sheetView>
  </sheetViews>
  <sheetFormatPr baseColWidth="10" defaultRowHeight="16" x14ac:dyDescent="0.2"/>
  <cols>
    <col min="1" max="1" width="14.33203125" customWidth="1"/>
    <col min="2" max="2" width="12.1640625" style="3" bestFit="1" customWidth="1"/>
    <col min="3" max="3" width="11.1640625" bestFit="1" customWidth="1"/>
    <col min="4" max="4" width="12.1640625" bestFit="1" customWidth="1"/>
    <col min="5" max="5" width="12.1640625" style="3" bestFit="1" customWidth="1"/>
    <col min="6" max="7" width="12.1640625" bestFit="1" customWidth="1"/>
    <col min="8" max="8" width="12.1640625" style="3" bestFit="1" customWidth="1"/>
    <col min="9" max="10" width="12.1640625" bestFit="1" customWidth="1"/>
    <col min="11" max="11" width="12.1640625" style="3" bestFit="1" customWidth="1"/>
    <col min="12" max="12" width="14.33203125" customWidth="1"/>
    <col min="13" max="13" width="12.1640625" bestFit="1" customWidth="1"/>
    <col min="14" max="14" width="12.1640625" style="3" bestFit="1" customWidth="1"/>
    <col min="15" max="16" width="12.1640625" bestFit="1" customWidth="1"/>
    <col min="18" max="18" width="32" customWidth="1"/>
  </cols>
  <sheetData>
    <row r="1" spans="1:18" s="1" customFormat="1" ht="51" x14ac:dyDescent="0.2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R1" s="1" t="s">
        <v>16</v>
      </c>
    </row>
    <row r="2" spans="1:18" x14ac:dyDescent="0.2">
      <c r="A2">
        <v>47</v>
      </c>
      <c r="B2" s="3">
        <v>6669.7091390854503</v>
      </c>
      <c r="C2">
        <v>141.712594032287</v>
      </c>
      <c r="D2">
        <v>0.585247614579263</v>
      </c>
      <c r="E2" s="3">
        <v>6393.2710294306698</v>
      </c>
      <c r="F2">
        <v>124.46870657701101</v>
      </c>
      <c r="G2">
        <v>0.59550928053681895</v>
      </c>
      <c r="H2" s="3">
        <v>6878.5197129401904</v>
      </c>
      <c r="I2">
        <v>135.882143729718</v>
      </c>
      <c r="J2">
        <v>0.70260119289088596</v>
      </c>
      <c r="K2" s="3">
        <v>5883.9474419919297</v>
      </c>
      <c r="L2">
        <v>124.393343511144</v>
      </c>
      <c r="M2">
        <v>0.61392562228376601</v>
      </c>
      <c r="N2" s="3">
        <v>4533.4376114680699</v>
      </c>
      <c r="O2">
        <v>110.779067722389</v>
      </c>
      <c r="P2">
        <v>0.35455413575100397</v>
      </c>
      <c r="R2" t="s">
        <v>151</v>
      </c>
    </row>
    <row r="3" spans="1:18" x14ac:dyDescent="0.2">
      <c r="A3">
        <v>65</v>
      </c>
      <c r="B3" s="3">
        <v>1458.8940160272</v>
      </c>
      <c r="C3">
        <v>189.49040174484199</v>
      </c>
      <c r="D3">
        <v>0.96584249430867797</v>
      </c>
      <c r="E3" s="3">
        <v>1327.08243076128</v>
      </c>
      <c r="F3">
        <v>179.19803551747</v>
      </c>
      <c r="G3">
        <v>0.99346582017927998</v>
      </c>
      <c r="H3" s="3">
        <v>1244.94049671579</v>
      </c>
      <c r="I3">
        <v>171.20817810442</v>
      </c>
      <c r="J3">
        <v>0.92862654865508198</v>
      </c>
      <c r="K3" s="3">
        <v>1298.9042424444201</v>
      </c>
      <c r="L3">
        <v>168.47045368572901</v>
      </c>
      <c r="M3">
        <v>1.1334566713315799</v>
      </c>
      <c r="N3" s="3">
        <v>1337.45948449565</v>
      </c>
      <c r="O3">
        <v>191.83644250223</v>
      </c>
      <c r="P3">
        <v>0.73719348825664699</v>
      </c>
    </row>
    <row r="4" spans="1:18" x14ac:dyDescent="0.2">
      <c r="A4">
        <v>98</v>
      </c>
      <c r="B4" s="3">
        <v>3046.6496352550898</v>
      </c>
      <c r="C4">
        <v>194.152021408081</v>
      </c>
      <c r="D4">
        <v>1.00944368307168</v>
      </c>
      <c r="E4" s="3">
        <v>1021.71897907121</v>
      </c>
      <c r="F4">
        <v>198.655282308875</v>
      </c>
      <c r="G4">
        <v>0.34840919764515299</v>
      </c>
      <c r="H4" s="3">
        <v>2139.7830333704301</v>
      </c>
      <c r="I4">
        <v>194.29295807369101</v>
      </c>
      <c r="J4">
        <v>0.85667304479942297</v>
      </c>
      <c r="K4" s="3">
        <v>4677.06091054853</v>
      </c>
      <c r="L4">
        <v>196.49870410048501</v>
      </c>
      <c r="M4">
        <v>1.8857963791491901</v>
      </c>
      <c r="N4" s="3">
        <v>1702.27654750847</v>
      </c>
      <c r="O4">
        <v>193.78946769633001</v>
      </c>
      <c r="P4">
        <v>0.67755825564001404</v>
      </c>
    </row>
    <row r="5" spans="1:18" x14ac:dyDescent="0.2">
      <c r="A5">
        <v>114</v>
      </c>
      <c r="B5" s="3">
        <v>66132.724728382396</v>
      </c>
      <c r="C5">
        <v>59.503060579299898</v>
      </c>
      <c r="D5">
        <v>0.86733628890001502</v>
      </c>
      <c r="E5" s="3">
        <v>51838.676431848799</v>
      </c>
      <c r="F5">
        <v>52.295170773032503</v>
      </c>
      <c r="G5">
        <v>0.6589834757659</v>
      </c>
      <c r="H5" s="3">
        <v>42514.330946139897</v>
      </c>
      <c r="I5">
        <v>46.195420668987303</v>
      </c>
      <c r="J5">
        <v>0.56742228553755403</v>
      </c>
      <c r="K5" s="3">
        <v>41866.373636478304</v>
      </c>
      <c r="L5">
        <v>45.891310783386501</v>
      </c>
      <c r="M5">
        <v>0.56913798074458</v>
      </c>
      <c r="N5" s="3">
        <v>52234.191916738797</v>
      </c>
      <c r="O5">
        <v>66.431458257828993</v>
      </c>
      <c r="P5">
        <v>0.68971685398820604</v>
      </c>
    </row>
    <row r="6" spans="1:18" x14ac:dyDescent="0.2">
      <c r="A6">
        <v>123</v>
      </c>
      <c r="B6" s="3">
        <v>11408.8688308701</v>
      </c>
      <c r="C6">
        <v>123.161625862121</v>
      </c>
      <c r="D6">
        <v>1.0714338963924199</v>
      </c>
      <c r="E6" s="3">
        <v>10174.113327250299</v>
      </c>
      <c r="F6">
        <v>121.95017267975</v>
      </c>
      <c r="G6">
        <v>0.99921980378140496</v>
      </c>
      <c r="H6" s="3">
        <v>9964.4284478895206</v>
      </c>
      <c r="I6">
        <v>123.28163678902401</v>
      </c>
      <c r="J6">
        <v>0.96419454455245801</v>
      </c>
      <c r="K6" s="3">
        <v>10529.8350864315</v>
      </c>
      <c r="L6">
        <v>121.680945707343</v>
      </c>
      <c r="M6">
        <v>0.97698327695805998</v>
      </c>
      <c r="N6" s="3">
        <v>10681.1125117263</v>
      </c>
      <c r="O6">
        <v>120.49738575923899</v>
      </c>
      <c r="P6">
        <v>0.97302492433489995</v>
      </c>
    </row>
    <row r="7" spans="1:18" x14ac:dyDescent="0.2">
      <c r="A7">
        <v>168</v>
      </c>
      <c r="B7" s="3">
        <v>2604.0409943009699</v>
      </c>
      <c r="C7">
        <v>142.82186031341499</v>
      </c>
      <c r="D7">
        <v>0.92167747270589095</v>
      </c>
      <c r="E7" s="3">
        <v>3168.5763653876202</v>
      </c>
      <c r="F7">
        <v>139.36390958595899</v>
      </c>
      <c r="G7">
        <v>1.3221926509023001</v>
      </c>
      <c r="H7" s="3">
        <v>2638.4861921507099</v>
      </c>
      <c r="I7">
        <v>127.431545786011</v>
      </c>
      <c r="J7">
        <v>0.98810337540251303</v>
      </c>
      <c r="K7" s="3">
        <v>2416.0873778677801</v>
      </c>
      <c r="L7">
        <v>136.35454231461699</v>
      </c>
      <c r="M7">
        <v>1.0556304636157701</v>
      </c>
      <c r="N7" s="3">
        <v>2680.2403742318002</v>
      </c>
      <c r="O7">
        <v>125.35305496746901</v>
      </c>
      <c r="P7">
        <v>0.90576127053802802</v>
      </c>
    </row>
    <row r="8" spans="1:18" x14ac:dyDescent="0.2">
      <c r="A8">
        <v>172</v>
      </c>
      <c r="B8" s="3">
        <v>10849.7682924567</v>
      </c>
      <c r="C8">
        <v>129.74249124526901</v>
      </c>
      <c r="D8">
        <v>0.81505420722153399</v>
      </c>
      <c r="E8" s="3">
        <v>9266.6779423716398</v>
      </c>
      <c r="F8">
        <v>122.744314063288</v>
      </c>
      <c r="G8">
        <v>0.78170999555890597</v>
      </c>
      <c r="H8" s="3">
        <v>8734.3782522978909</v>
      </c>
      <c r="I8">
        <v>123.577947496503</v>
      </c>
      <c r="J8">
        <v>0.78082250811812104</v>
      </c>
      <c r="K8" s="3">
        <v>11558.5551358475</v>
      </c>
      <c r="L8">
        <v>134.41745480354399</v>
      </c>
      <c r="M8">
        <v>1.1603766647039899</v>
      </c>
      <c r="N8" s="3">
        <v>8678.16280823329</v>
      </c>
      <c r="O8">
        <v>122.131358861545</v>
      </c>
      <c r="P8">
        <v>0.73982901426454994</v>
      </c>
    </row>
    <row r="9" spans="1:18" x14ac:dyDescent="0.2">
      <c r="A9">
        <v>185</v>
      </c>
      <c r="B9" s="3">
        <v>27637.2212785583</v>
      </c>
      <c r="C9">
        <v>113.132393360137</v>
      </c>
      <c r="D9">
        <v>0.83481346872971096</v>
      </c>
      <c r="E9" s="3">
        <v>30448.066101414901</v>
      </c>
      <c r="F9">
        <v>97.700367494684201</v>
      </c>
      <c r="G9">
        <v>0.85835183006424198</v>
      </c>
      <c r="H9" s="3">
        <v>31224.702391864601</v>
      </c>
      <c r="I9">
        <v>98.537851742119997</v>
      </c>
      <c r="J9">
        <v>0.89303157527503696</v>
      </c>
      <c r="K9" s="3">
        <v>29674.950102828301</v>
      </c>
      <c r="L9">
        <v>102.506922493711</v>
      </c>
      <c r="M9">
        <v>0.81560242796050897</v>
      </c>
      <c r="N9" s="3">
        <v>34116.1291424253</v>
      </c>
      <c r="O9">
        <v>120.75390331773301</v>
      </c>
      <c r="P9">
        <v>0.90292392236027397</v>
      </c>
    </row>
    <row r="10" spans="1:18" x14ac:dyDescent="0.2">
      <c r="A10">
        <v>195</v>
      </c>
      <c r="B10" s="3">
        <v>78594.504846076801</v>
      </c>
      <c r="C10">
        <v>102.37876176834099</v>
      </c>
      <c r="D10">
        <v>0.76818808869219302</v>
      </c>
      <c r="E10" s="3">
        <v>53455.934241183102</v>
      </c>
      <c r="F10">
        <v>90.783409211563495</v>
      </c>
      <c r="G10">
        <v>0.52772235836524095</v>
      </c>
      <c r="H10" s="3">
        <v>49863.8452658764</v>
      </c>
      <c r="I10">
        <v>91.268709308194303</v>
      </c>
      <c r="J10">
        <v>0.53444986403383898</v>
      </c>
      <c r="K10" s="3">
        <v>53309.098254367003</v>
      </c>
      <c r="L10">
        <v>89.5603862663922</v>
      </c>
      <c r="M10">
        <v>0.53382797745910304</v>
      </c>
      <c r="N10" s="3">
        <v>50882.164060114002</v>
      </c>
      <c r="O10">
        <v>87.883168695940796</v>
      </c>
      <c r="P10">
        <v>0.45519385002841001</v>
      </c>
    </row>
    <row r="11" spans="1:18" x14ac:dyDescent="0.2">
      <c r="A11">
        <v>197</v>
      </c>
      <c r="B11" s="3">
        <v>11323.9378309844</v>
      </c>
      <c r="C11">
        <v>150.872600078582</v>
      </c>
      <c r="D11">
        <v>0.74401833093412295</v>
      </c>
      <c r="E11" s="3">
        <v>12811.7953336884</v>
      </c>
      <c r="F11">
        <v>139.818165296465</v>
      </c>
      <c r="G11">
        <v>0.83446832872863996</v>
      </c>
      <c r="H11" s="3">
        <v>12213.235543356799</v>
      </c>
      <c r="I11">
        <v>142.12587301735499</v>
      </c>
      <c r="J11">
        <v>0.85846874026028896</v>
      </c>
      <c r="K11" s="3">
        <v>12263.0357042019</v>
      </c>
      <c r="L11">
        <v>141.30402987855001</v>
      </c>
      <c r="M11">
        <v>0.74145811673009199</v>
      </c>
      <c r="N11" s="3">
        <v>12879.466916174</v>
      </c>
      <c r="O11">
        <v>139.96003559936699</v>
      </c>
      <c r="P11">
        <v>0.68029117562276797</v>
      </c>
    </row>
    <row r="12" spans="1:18" x14ac:dyDescent="0.2">
      <c r="A12">
        <v>237</v>
      </c>
      <c r="B12" s="3">
        <v>42279.1682037383</v>
      </c>
      <c r="C12">
        <v>147.35212326049799</v>
      </c>
      <c r="D12">
        <v>1.12967540542024</v>
      </c>
      <c r="E12" s="3">
        <v>23288.611136801301</v>
      </c>
      <c r="F12">
        <v>125.235767098729</v>
      </c>
      <c r="G12">
        <v>0.54339941350544196</v>
      </c>
      <c r="H12" s="3">
        <v>19042.693484842399</v>
      </c>
      <c r="I12">
        <v>119.491543689002</v>
      </c>
      <c r="J12">
        <v>0.59546293317501298</v>
      </c>
      <c r="K12" s="3">
        <v>19144.182919345902</v>
      </c>
      <c r="L12">
        <v>109.18348009757899</v>
      </c>
      <c r="M12">
        <v>0.55259426481688201</v>
      </c>
      <c r="N12" s="3">
        <v>20967.019593640998</v>
      </c>
      <c r="O12">
        <v>95.589458901941896</v>
      </c>
      <c r="P12">
        <v>0.425321276065318</v>
      </c>
    </row>
    <row r="13" spans="1:18" x14ac:dyDescent="0.2">
      <c r="A13">
        <v>272</v>
      </c>
      <c r="B13" s="3">
        <v>3316.54247673688</v>
      </c>
      <c r="C13">
        <v>159.00068283081001</v>
      </c>
      <c r="D13">
        <v>1.6758196950703199</v>
      </c>
      <c r="E13" s="3">
        <v>1535.5831462210599</v>
      </c>
      <c r="F13">
        <v>145.14119736861201</v>
      </c>
      <c r="G13">
        <v>0.84864270259796903</v>
      </c>
      <c r="H13" s="3">
        <v>1495.2783383890601</v>
      </c>
      <c r="I13">
        <v>141.022988253965</v>
      </c>
      <c r="J13">
        <v>0.72546665893395001</v>
      </c>
      <c r="K13" s="3">
        <v>1508.89852324964</v>
      </c>
      <c r="L13">
        <v>155.11123808139601</v>
      </c>
      <c r="M13">
        <v>0.88307360888863295</v>
      </c>
      <c r="N13" s="3">
        <v>1510.8397225026299</v>
      </c>
      <c r="O13">
        <v>138.06363229187301</v>
      </c>
      <c r="P13">
        <v>0.60858718255523303</v>
      </c>
    </row>
    <row r="14" spans="1:18" x14ac:dyDescent="0.2">
      <c r="A14">
        <v>279</v>
      </c>
      <c r="B14" s="3">
        <v>67352.311200136202</v>
      </c>
      <c r="C14">
        <v>129.343104362487</v>
      </c>
      <c r="D14">
        <v>0.943042955336029</v>
      </c>
      <c r="E14" s="3">
        <v>34499.568050340204</v>
      </c>
      <c r="F14">
        <v>91.364041413681093</v>
      </c>
      <c r="G14">
        <v>0.57707656543660402</v>
      </c>
      <c r="H14" s="3">
        <v>34515.235722922902</v>
      </c>
      <c r="I14">
        <v>96.449961350566497</v>
      </c>
      <c r="J14">
        <v>0.57353526258417997</v>
      </c>
      <c r="K14" s="3">
        <v>50516.079113248103</v>
      </c>
      <c r="L14">
        <v>117.20449555649699</v>
      </c>
      <c r="M14">
        <v>0.86465639604797295</v>
      </c>
      <c r="N14" s="3">
        <v>32894.797565926499</v>
      </c>
      <c r="O14">
        <v>92.728707573298806</v>
      </c>
      <c r="P14">
        <v>0.54657444469196104</v>
      </c>
    </row>
    <row r="15" spans="1:18" x14ac:dyDescent="0.2">
      <c r="A15">
        <v>709</v>
      </c>
      <c r="B15" s="3">
        <v>2078.4846643648798</v>
      </c>
      <c r="C15">
        <v>129.280400276184</v>
      </c>
      <c r="D15">
        <v>3.8246467737671097E-2</v>
      </c>
      <c r="E15" s="3">
        <v>857.36758722324896</v>
      </c>
      <c r="F15">
        <v>183.67090019803399</v>
      </c>
      <c r="G15">
        <v>1.2730766131148199E-2</v>
      </c>
      <c r="H15" s="3">
        <v>2162.0718024718699</v>
      </c>
      <c r="I15">
        <v>171.784658476814</v>
      </c>
      <c r="J15">
        <v>4.6043461269688002E-2</v>
      </c>
      <c r="K15" s="3">
        <v>766.90774688245995</v>
      </c>
      <c r="L15">
        <v>132.535442974521</v>
      </c>
      <c r="M15">
        <v>1.22224625557851E-2</v>
      </c>
      <c r="N15" s="3">
        <v>765.578562380726</v>
      </c>
      <c r="O15">
        <v>151.54345567805299</v>
      </c>
      <c r="P15">
        <v>1.36678629290517E-2</v>
      </c>
    </row>
    <row r="16" spans="1:18" x14ac:dyDescent="0.2">
      <c r="A16">
        <v>712</v>
      </c>
      <c r="B16" s="3">
        <v>4312.7529491033902</v>
      </c>
      <c r="C16">
        <v>153.13695669174101</v>
      </c>
      <c r="D16">
        <v>0.802072469300528</v>
      </c>
      <c r="E16" s="3">
        <v>2688.0459949615401</v>
      </c>
      <c r="F16">
        <v>129.52510133865599</v>
      </c>
      <c r="G16">
        <v>0.66111218449446796</v>
      </c>
      <c r="H16" s="3">
        <v>2569.5971416583002</v>
      </c>
      <c r="I16">
        <v>128.11462322754701</v>
      </c>
      <c r="J16">
        <v>0.66924511652819696</v>
      </c>
      <c r="K16" s="3">
        <v>3515.0067284370102</v>
      </c>
      <c r="L16">
        <v>137.968145397634</v>
      </c>
      <c r="M16">
        <v>1.04089711662763</v>
      </c>
      <c r="N16" s="3">
        <v>2600.2151331239902</v>
      </c>
      <c r="O16">
        <v>131.025773739286</v>
      </c>
      <c r="P16">
        <v>0.67467787365069798</v>
      </c>
    </row>
    <row r="17" spans="1:16" x14ac:dyDescent="0.2">
      <c r="A17">
        <v>714</v>
      </c>
      <c r="B17" s="3">
        <v>2529.9808299668898</v>
      </c>
      <c r="C17">
        <v>172.989964485168</v>
      </c>
      <c r="D17">
        <v>1.0654438274093501</v>
      </c>
      <c r="E17" s="3">
        <v>518.87545650241896</v>
      </c>
      <c r="F17">
        <v>115.85790890621099</v>
      </c>
      <c r="G17">
        <v>0.27313364596908402</v>
      </c>
      <c r="H17" s="3">
        <v>905.06344183340696</v>
      </c>
      <c r="I17">
        <v>143.87515757841601</v>
      </c>
      <c r="J17">
        <v>0.48392190645711403</v>
      </c>
      <c r="K17" s="3">
        <v>522.67860438333696</v>
      </c>
      <c r="L17">
        <v>151.38219352528699</v>
      </c>
      <c r="M17">
        <v>0.241200108197279</v>
      </c>
      <c r="N17" s="3">
        <v>523.94462968006496</v>
      </c>
      <c r="O17">
        <v>152.57827001012399</v>
      </c>
      <c r="P17">
        <v>0.237469859808151</v>
      </c>
    </row>
    <row r="18" spans="1:16" x14ac:dyDescent="0.2">
      <c r="A18">
        <v>722</v>
      </c>
      <c r="B18" s="3">
        <v>285811.331559824</v>
      </c>
      <c r="C18">
        <v>131.692123413085</v>
      </c>
      <c r="D18">
        <v>1.1299582955538701</v>
      </c>
      <c r="E18" s="3">
        <v>216823.902362956</v>
      </c>
      <c r="F18">
        <v>119.58094322038301</v>
      </c>
      <c r="G18">
        <v>0.83321798769566302</v>
      </c>
      <c r="H18" s="3">
        <v>189209.077838609</v>
      </c>
      <c r="I18">
        <v>112.059680098347</v>
      </c>
      <c r="J18">
        <v>0.66815728931571405</v>
      </c>
      <c r="K18" s="3">
        <v>202356.15760178599</v>
      </c>
      <c r="L18">
        <v>116.05941572904599</v>
      </c>
      <c r="M18">
        <v>0.74807293491997395</v>
      </c>
      <c r="N18" s="3">
        <v>221653.98435224901</v>
      </c>
      <c r="O18">
        <v>134.53173918333599</v>
      </c>
      <c r="P18">
        <v>0.61446383942521499</v>
      </c>
    </row>
    <row r="19" spans="1:16" x14ac:dyDescent="0.2">
      <c r="A19">
        <v>724</v>
      </c>
      <c r="B19" s="3">
        <v>7386.0704031304704</v>
      </c>
      <c r="C19">
        <v>86.079436540603595</v>
      </c>
      <c r="D19">
        <v>1.10026804342009</v>
      </c>
      <c r="E19" s="3">
        <v>4993.8136231646404</v>
      </c>
      <c r="F19">
        <v>62.0953075805023</v>
      </c>
      <c r="G19">
        <v>0.76970395255276502</v>
      </c>
      <c r="H19" s="3">
        <v>4583.6137195239598</v>
      </c>
      <c r="I19">
        <v>58.804966744470697</v>
      </c>
      <c r="J19">
        <v>0.69874173972664899</v>
      </c>
      <c r="K19" s="3">
        <v>4616.9423143245704</v>
      </c>
      <c r="L19">
        <v>57.194816996080398</v>
      </c>
      <c r="M19">
        <v>0.70399280709386802</v>
      </c>
      <c r="N19" s="3">
        <v>5104.64077870446</v>
      </c>
      <c r="O19">
        <v>64.753226687364204</v>
      </c>
      <c r="P19">
        <v>0.80253787159451395</v>
      </c>
    </row>
    <row r="20" spans="1:16" x14ac:dyDescent="0.2">
      <c r="A20">
        <v>749</v>
      </c>
      <c r="B20" s="3">
        <v>51494.729206007003</v>
      </c>
      <c r="C20">
        <v>154.27682399749699</v>
      </c>
      <c r="D20">
        <v>2.0559066027088102</v>
      </c>
      <c r="E20" s="3">
        <v>19024.317029594898</v>
      </c>
      <c r="F20">
        <v>104.79200705662301</v>
      </c>
      <c r="G20">
        <v>0.67526558216079302</v>
      </c>
      <c r="H20" s="3">
        <v>22936.952761728699</v>
      </c>
      <c r="I20">
        <v>128.27109383298099</v>
      </c>
      <c r="J20">
        <v>0.928532382154303</v>
      </c>
      <c r="K20" s="3">
        <v>30101.251066037101</v>
      </c>
      <c r="L20">
        <v>133.006027489319</v>
      </c>
      <c r="M20">
        <v>1.2583416183731799</v>
      </c>
      <c r="N20" s="3">
        <v>20646.774318785901</v>
      </c>
      <c r="O20">
        <v>117.91569262410999</v>
      </c>
      <c r="P20">
        <v>0.83958760682955602</v>
      </c>
    </row>
    <row r="21" spans="1:16" x14ac:dyDescent="0.2">
      <c r="A21">
        <v>777</v>
      </c>
      <c r="B21" s="3">
        <v>3977.6695438409602</v>
      </c>
      <c r="C21">
        <v>154.727959632873</v>
      </c>
      <c r="D21">
        <v>1.03137540138761</v>
      </c>
      <c r="E21" s="3">
        <v>2559.7417961342899</v>
      </c>
      <c r="F21">
        <v>148.45549180987899</v>
      </c>
      <c r="G21">
        <v>0.83128728193778301</v>
      </c>
      <c r="H21" s="3">
        <v>2655.4396773705498</v>
      </c>
      <c r="I21">
        <v>152.93196159695799</v>
      </c>
      <c r="J21">
        <v>0.97062079010012003</v>
      </c>
      <c r="K21" s="3">
        <v>2498.47192421111</v>
      </c>
      <c r="L21">
        <v>150.39925899815299</v>
      </c>
      <c r="M21">
        <v>0.75083379024544905</v>
      </c>
      <c r="N21" s="3">
        <v>2651.3365417210198</v>
      </c>
      <c r="O21">
        <v>164.07872462440301</v>
      </c>
      <c r="P21">
        <v>0.61596461842621497</v>
      </c>
    </row>
    <row r="22" spans="1:16" x14ac:dyDescent="0.2">
      <c r="A22">
        <v>782</v>
      </c>
      <c r="B22" s="3">
        <v>22832.326556879802</v>
      </c>
      <c r="C22">
        <v>141.26343727111799</v>
      </c>
      <c r="D22">
        <v>0.93926378114228903</v>
      </c>
      <c r="E22" s="3">
        <v>19479.031510419802</v>
      </c>
      <c r="F22">
        <v>117.390931991899</v>
      </c>
      <c r="G22">
        <v>0.705667132586836</v>
      </c>
      <c r="H22" s="3">
        <v>20159.564776828502</v>
      </c>
      <c r="I22">
        <v>111.057721083226</v>
      </c>
      <c r="J22">
        <v>0.76955724329321396</v>
      </c>
      <c r="K22" s="3">
        <v>19890.424314542201</v>
      </c>
      <c r="L22">
        <v>111.788865496873</v>
      </c>
      <c r="M22">
        <v>0.73082831496670198</v>
      </c>
      <c r="N22" s="3">
        <v>18753.969575395298</v>
      </c>
      <c r="O22">
        <v>107.762939464217</v>
      </c>
      <c r="P22">
        <v>0.69912211495369903</v>
      </c>
    </row>
    <row r="23" spans="1:16" x14ac:dyDescent="0.2">
      <c r="A23">
        <v>792</v>
      </c>
      <c r="B23" s="3">
        <v>20252.475206749401</v>
      </c>
      <c r="C23">
        <v>118.139827251434</v>
      </c>
      <c r="D23">
        <v>0.91689145357005997</v>
      </c>
      <c r="E23" s="3">
        <v>17062.984812482999</v>
      </c>
      <c r="F23">
        <v>95.898137138436098</v>
      </c>
      <c r="G23">
        <v>0.84458714262376</v>
      </c>
      <c r="H23" s="3">
        <v>17269.141457616701</v>
      </c>
      <c r="I23">
        <v>98.178779697200497</v>
      </c>
      <c r="J23">
        <v>0.82206466545410894</v>
      </c>
      <c r="K23" s="3">
        <v>16858.003661996099</v>
      </c>
      <c r="L23">
        <v>91.094665630756197</v>
      </c>
      <c r="M23">
        <v>0.78997580829112102</v>
      </c>
      <c r="N23" s="3">
        <v>19244.480992631299</v>
      </c>
      <c r="O23">
        <v>104.430713660949</v>
      </c>
      <c r="P23">
        <v>0.82569482835657904</v>
      </c>
    </row>
    <row r="24" spans="1:16" s="23" customFormat="1" x14ac:dyDescent="0.2">
      <c r="A24" s="7">
        <v>804</v>
      </c>
      <c r="B24" s="9">
        <v>6960.4157921779297</v>
      </c>
      <c r="C24" s="7">
        <v>140.94434976577699</v>
      </c>
      <c r="D24" s="7">
        <v>0.74212312676235104</v>
      </c>
      <c r="E24" s="9">
        <v>6392.3527955814998</v>
      </c>
      <c r="F24" s="7">
        <v>121.618919795236</v>
      </c>
      <c r="G24" s="7">
        <v>0.80897774369873499</v>
      </c>
      <c r="H24" s="9">
        <v>5170.6610584747204</v>
      </c>
      <c r="I24" s="7">
        <v>129.54866452372801</v>
      </c>
      <c r="J24" s="7">
        <v>0.64952956056420297</v>
      </c>
      <c r="K24" s="9">
        <v>5956.8754495195699</v>
      </c>
      <c r="L24" s="7">
        <v>135.82314956034199</v>
      </c>
      <c r="M24" s="7">
        <v>0.846311261394734</v>
      </c>
      <c r="N24" s="9">
        <v>5755.7797774194496</v>
      </c>
      <c r="O24" s="7">
        <v>134.983902908294</v>
      </c>
      <c r="P24" s="7">
        <v>0.76499516978168303</v>
      </c>
    </row>
    <row r="25" spans="1:16" s="23" customFormat="1" x14ac:dyDescent="0.2">
      <c r="A25" s="7">
        <v>812</v>
      </c>
      <c r="B25" s="9">
        <v>25503.6587179173</v>
      </c>
      <c r="C25" s="7">
        <v>94.631123542785602</v>
      </c>
      <c r="D25" s="7">
        <v>2.2636610220395599</v>
      </c>
      <c r="E25" s="9">
        <v>25246.989055296301</v>
      </c>
      <c r="F25" s="7">
        <v>87.441142348662893</v>
      </c>
      <c r="G25" s="7">
        <v>1.9372161433797701</v>
      </c>
      <c r="H25" s="9">
        <v>24133.9568293548</v>
      </c>
      <c r="I25" s="7">
        <v>89.427618941987404</v>
      </c>
      <c r="J25" s="7">
        <v>1.8967838475333201</v>
      </c>
      <c r="K25" s="9">
        <v>25728.798919791399</v>
      </c>
      <c r="L25" s="7">
        <v>96.811058383382701</v>
      </c>
      <c r="M25" s="7">
        <v>2.4370181409295899</v>
      </c>
      <c r="N25" s="9">
        <v>24078.759820954401</v>
      </c>
      <c r="O25" s="7">
        <v>91.226394572011799</v>
      </c>
      <c r="P25" s="7">
        <v>2.1540016702832898</v>
      </c>
    </row>
    <row r="26" spans="1:16" x14ac:dyDescent="0.2">
      <c r="A26">
        <v>816</v>
      </c>
      <c r="B26" s="3">
        <v>17990.128848899301</v>
      </c>
      <c r="C26">
        <v>163.17967176437301</v>
      </c>
      <c r="D26">
        <v>1.0090173903003099</v>
      </c>
      <c r="E26" s="3">
        <v>5744.0279621826703</v>
      </c>
      <c r="F26">
        <v>163.98991841072501</v>
      </c>
      <c r="G26">
        <v>0.36798252511766899</v>
      </c>
      <c r="H26" s="3">
        <v>8181.6841423251599</v>
      </c>
      <c r="I26">
        <v>180.668499357592</v>
      </c>
      <c r="J26">
        <v>0.55510360722452701</v>
      </c>
      <c r="K26" s="3">
        <v>6710.1195010152496</v>
      </c>
      <c r="L26">
        <v>165.53961906577399</v>
      </c>
      <c r="M26">
        <v>0.45308889504899402</v>
      </c>
      <c r="N26" s="3">
        <v>5345.3429875853099</v>
      </c>
      <c r="O26">
        <v>158.351664133024</v>
      </c>
      <c r="P26">
        <v>0.34653095081676899</v>
      </c>
    </row>
    <row r="27" spans="1:16" x14ac:dyDescent="0.2">
      <c r="A27">
        <v>822</v>
      </c>
      <c r="B27" s="3">
        <v>21739.5757088311</v>
      </c>
      <c r="C27">
        <v>132.49917030334399</v>
      </c>
      <c r="D27">
        <v>0.58542264375633002</v>
      </c>
      <c r="E27" s="3">
        <v>27464.9795929213</v>
      </c>
      <c r="F27">
        <v>117.853039235164</v>
      </c>
      <c r="G27">
        <v>0.73394217883056201</v>
      </c>
      <c r="H27" s="3">
        <v>25698.902401325398</v>
      </c>
      <c r="I27">
        <v>113.369994387609</v>
      </c>
      <c r="J27">
        <v>0.67589753873245495</v>
      </c>
      <c r="K27" s="3">
        <v>28437.764001183601</v>
      </c>
      <c r="L27">
        <v>112.77938885196799</v>
      </c>
      <c r="M27">
        <v>0.87128203835325702</v>
      </c>
      <c r="N27" s="3">
        <v>26982.215934973701</v>
      </c>
      <c r="O27">
        <v>125.141855535551</v>
      </c>
      <c r="P27">
        <v>0.58278270466689397</v>
      </c>
    </row>
    <row r="28" spans="1:16" x14ac:dyDescent="0.2">
      <c r="A28">
        <v>827</v>
      </c>
      <c r="B28" s="3">
        <v>75840.442192803705</v>
      </c>
      <c r="C28">
        <v>110.81888675689601</v>
      </c>
      <c r="D28">
        <v>1.11251761862848</v>
      </c>
      <c r="E28" s="3">
        <v>82190.067771210102</v>
      </c>
      <c r="F28">
        <v>103.70931982881601</v>
      </c>
      <c r="G28">
        <v>1.34332111269333</v>
      </c>
      <c r="H28" s="3">
        <v>74391.316434485605</v>
      </c>
      <c r="I28">
        <v>97.207849998758505</v>
      </c>
      <c r="J28">
        <v>1.09184827201388</v>
      </c>
      <c r="K28" s="3">
        <v>83209.761249163304</v>
      </c>
      <c r="L28">
        <v>107.082617547436</v>
      </c>
      <c r="M28">
        <v>1.2981230682382201</v>
      </c>
      <c r="N28" s="3">
        <v>86039.755739263594</v>
      </c>
      <c r="O28">
        <v>128.30556767711201</v>
      </c>
      <c r="P28">
        <v>1.1888715592174799</v>
      </c>
    </row>
    <row r="29" spans="1:16" x14ac:dyDescent="0.2">
      <c r="A29">
        <v>838</v>
      </c>
      <c r="B29" s="3">
        <v>16820.830895053899</v>
      </c>
      <c r="C29">
        <v>110.57885885238601</v>
      </c>
      <c r="D29">
        <v>1.5915685760491101</v>
      </c>
      <c r="E29" s="3">
        <v>10118.810978817801</v>
      </c>
      <c r="F29">
        <v>96.573023574976304</v>
      </c>
      <c r="G29">
        <v>1.0686986186384599</v>
      </c>
      <c r="H29" s="3">
        <v>8274.5704061346005</v>
      </c>
      <c r="I29">
        <v>85.876610337178704</v>
      </c>
      <c r="J29">
        <v>0.84607260632176096</v>
      </c>
      <c r="K29" s="3">
        <v>10224.351499432099</v>
      </c>
      <c r="L29">
        <v>90.2262719595535</v>
      </c>
      <c r="M29">
        <v>1.0660442044201901</v>
      </c>
      <c r="N29" s="3">
        <v>9103.3525663643795</v>
      </c>
      <c r="O29">
        <v>86.001842230153301</v>
      </c>
      <c r="P29">
        <v>0.82977864721285999</v>
      </c>
    </row>
    <row r="30" spans="1:16" x14ac:dyDescent="0.2">
      <c r="A30">
        <v>876</v>
      </c>
      <c r="B30" s="3">
        <v>1891.3499808337899</v>
      </c>
      <c r="C30">
        <v>200</v>
      </c>
      <c r="D30">
        <v>0.36571778010764999</v>
      </c>
      <c r="E30" s="3">
        <v>1937.40167626628</v>
      </c>
      <c r="F30">
        <v>200</v>
      </c>
      <c r="G30">
        <v>0.37462249153620603</v>
      </c>
      <c r="H30" s="3">
        <v>3174.54</v>
      </c>
      <c r="I30">
        <v>200</v>
      </c>
      <c r="J30">
        <v>0.61383971060314702</v>
      </c>
      <c r="K30" s="3">
        <v>3131.2700012018499</v>
      </c>
      <c r="L30">
        <v>200</v>
      </c>
      <c r="M30">
        <v>0.60547287838806896</v>
      </c>
      <c r="N30" s="3">
        <v>2307.1669921875</v>
      </c>
      <c r="O30">
        <v>200</v>
      </c>
      <c r="P30">
        <v>0.44612155424014399</v>
      </c>
    </row>
    <row r="31" spans="1:16" x14ac:dyDescent="0.2">
      <c r="A31">
        <v>877</v>
      </c>
      <c r="B31" s="3">
        <v>3870.68727747411</v>
      </c>
      <c r="C31">
        <v>191.46479368209799</v>
      </c>
      <c r="D31">
        <v>1.1906290216195501</v>
      </c>
      <c r="E31" s="3">
        <v>1979.0465472251301</v>
      </c>
      <c r="F31">
        <v>166.113674015681</v>
      </c>
      <c r="G31">
        <v>0.497582408090738</v>
      </c>
      <c r="H31" s="3">
        <v>2091.9880126718999</v>
      </c>
      <c r="I31">
        <v>173.44273345220799</v>
      </c>
      <c r="J31">
        <v>0.64613918611943</v>
      </c>
      <c r="K31" s="3">
        <v>2014.5493995730101</v>
      </c>
      <c r="L31">
        <v>172.68126559343901</v>
      </c>
      <c r="M31">
        <v>0.67753065139497604</v>
      </c>
      <c r="N31" s="3">
        <v>2044.9010743153401</v>
      </c>
      <c r="O31">
        <v>170.17647435854599</v>
      </c>
      <c r="P31">
        <v>0.45061391282229601</v>
      </c>
    </row>
    <row r="32" spans="1:16" x14ac:dyDescent="0.2">
      <c r="A32">
        <v>888</v>
      </c>
      <c r="B32" s="3">
        <v>6184.2978582859296</v>
      </c>
      <c r="C32">
        <v>108.21719169616701</v>
      </c>
      <c r="D32">
        <v>0.61700623663519905</v>
      </c>
      <c r="E32" s="3">
        <v>5036.2184129450998</v>
      </c>
      <c r="F32">
        <v>96.403316844402696</v>
      </c>
      <c r="G32">
        <v>0.54947203951392798</v>
      </c>
      <c r="H32" s="3">
        <v>5334.1978711111396</v>
      </c>
      <c r="I32">
        <v>94.8353814271766</v>
      </c>
      <c r="J32">
        <v>0.58750909247377003</v>
      </c>
      <c r="K32" s="3">
        <v>4957.8638826869201</v>
      </c>
      <c r="L32">
        <v>88.730014433410204</v>
      </c>
      <c r="M32">
        <v>0.54238868164125398</v>
      </c>
      <c r="N32" s="3">
        <v>5312.9104677739297</v>
      </c>
      <c r="O32">
        <v>97.232311207248998</v>
      </c>
      <c r="P32">
        <v>0.50377254015143402</v>
      </c>
    </row>
    <row r="33" spans="1:16" x14ac:dyDescent="0.2">
      <c r="A33">
        <v>890</v>
      </c>
      <c r="B33" s="3">
        <v>11311.100034921399</v>
      </c>
      <c r="C33">
        <v>72.898066043853703</v>
      </c>
      <c r="D33">
        <v>0.86924869573179098</v>
      </c>
      <c r="E33" s="3">
        <v>6860.7628469527199</v>
      </c>
      <c r="F33">
        <v>62.753118508957797</v>
      </c>
      <c r="G33">
        <v>0.48869321768125001</v>
      </c>
      <c r="H33" s="3">
        <v>6420.5170099922598</v>
      </c>
      <c r="I33">
        <v>57.883424366017501</v>
      </c>
      <c r="J33">
        <v>0.51478707943246804</v>
      </c>
      <c r="K33" s="3">
        <v>8029.0422894440198</v>
      </c>
      <c r="L33">
        <v>72.725935734683105</v>
      </c>
      <c r="M33">
        <v>0.59878758691700695</v>
      </c>
      <c r="N33" s="3">
        <v>9144.2264014085595</v>
      </c>
      <c r="O33">
        <v>74.091302665543196</v>
      </c>
      <c r="P33">
        <v>0.66596610285183899</v>
      </c>
    </row>
    <row r="34" spans="1:16" ht="69" customHeight="1" x14ac:dyDescent="0.2">
      <c r="A34" s="2" t="s">
        <v>81</v>
      </c>
      <c r="B34" s="3">
        <f t="shared" ref="B34:J34" si="0">AVERAGE(B2:B33)</f>
        <v>28795.707803114812</v>
      </c>
      <c r="C34" s="3">
        <f t="shared" si="0"/>
        <v>135.92133633792358</v>
      </c>
      <c r="D34" s="3">
        <f t="shared" si="0"/>
        <v>0.99243537672570958</v>
      </c>
      <c r="E34" s="3">
        <f t="shared" si="0"/>
        <v>21756.51288526904</v>
      </c>
      <c r="F34" s="3">
        <f t="shared" si="0"/>
        <v>122.5762731622614</v>
      </c>
      <c r="G34" s="3">
        <f t="shared" si="0"/>
        <v>0.73957392432502678</v>
      </c>
      <c r="H34" s="3">
        <f t="shared" si="0"/>
        <v>20243.522331633536</v>
      </c>
      <c r="I34" s="3">
        <f t="shared" si="0"/>
        <v>123.0658180355554</v>
      </c>
      <c r="J34" s="3">
        <f t="shared" si="0"/>
        <v>0.75322667592301318</v>
      </c>
      <c r="K34" s="3">
        <f>AVERAGE(K2:K33)</f>
        <v>22005.414018889431</v>
      </c>
      <c r="L34" s="3">
        <f t="shared" ref="L34:P34" si="1">AVERAGE(L2:L33)</f>
        <v>123.95017064525099</v>
      </c>
      <c r="M34" s="3">
        <f t="shared" si="1"/>
        <v>0.85809163183398129</v>
      </c>
      <c r="N34" s="3">
        <f t="shared" si="1"/>
        <v>21973.64484069074</v>
      </c>
      <c r="O34" s="3">
        <f t="shared" si="1"/>
        <v>124.99778103457851</v>
      </c>
      <c r="P34" s="3">
        <f t="shared" si="1"/>
        <v>0.68603597131611493</v>
      </c>
    </row>
    <row r="37" spans="1:16" x14ac:dyDescent="0.2">
      <c r="A37" t="s">
        <v>82</v>
      </c>
    </row>
    <row r="39" spans="1:16" x14ac:dyDescent="0.2">
      <c r="A39" t="s">
        <v>0</v>
      </c>
      <c r="B39" s="3" t="s">
        <v>1</v>
      </c>
      <c r="C39" t="s">
        <v>2</v>
      </c>
      <c r="D39" t="s">
        <v>3</v>
      </c>
      <c r="E39" s="3" t="s">
        <v>4</v>
      </c>
      <c r="F39" t="s">
        <v>5</v>
      </c>
      <c r="G39" t="s">
        <v>6</v>
      </c>
      <c r="H39" s="3" t="s">
        <v>7</v>
      </c>
      <c r="I39" t="s">
        <v>8</v>
      </c>
      <c r="J39" t="s">
        <v>9</v>
      </c>
      <c r="K39" s="3" t="s">
        <v>10</v>
      </c>
      <c r="L39" t="s">
        <v>11</v>
      </c>
      <c r="M39" t="s">
        <v>12</v>
      </c>
      <c r="N39" s="3" t="s">
        <v>13</v>
      </c>
      <c r="O39" t="s">
        <v>14</v>
      </c>
      <c r="P39" t="s">
        <v>15</v>
      </c>
    </row>
    <row r="40" spans="1:16" x14ac:dyDescent="0.2">
      <c r="A40">
        <v>47</v>
      </c>
      <c r="B40" s="3">
        <f>B2/MIN($B2,$E2,$H2,$K2,$N2)</f>
        <v>1.4712255270069965</v>
      </c>
      <c r="C40" s="5">
        <f>C2</f>
        <v>141.712594032287</v>
      </c>
      <c r="D40" s="5">
        <f>D2</f>
        <v>0.585247614579263</v>
      </c>
      <c r="E40" s="3">
        <f>E2/MIN($B2,$E2,$H2,$K2,$N2)</f>
        <v>1.4102479348690822</v>
      </c>
      <c r="F40" s="5">
        <f>F2</f>
        <v>124.46870657701101</v>
      </c>
      <c r="G40" s="5">
        <f>G2</f>
        <v>0.59550928053681895</v>
      </c>
      <c r="H40" s="3">
        <f>H2/MIN($B2,$E2,$H2,$K2,$N2)</f>
        <v>1.5172856235056269</v>
      </c>
      <c r="I40" s="5">
        <f>I2</f>
        <v>135.882143729718</v>
      </c>
      <c r="J40" s="5">
        <f>J2</f>
        <v>0.70260119289088596</v>
      </c>
      <c r="K40" s="3">
        <f>K2/MIN($B2,$E2,$H2,$K2,$N2)</f>
        <v>1.2978997278152731</v>
      </c>
      <c r="L40" s="5">
        <f>L2</f>
        <v>124.393343511144</v>
      </c>
      <c r="M40" s="5">
        <f>M2</f>
        <v>0.61392562228376601</v>
      </c>
      <c r="N40" s="3">
        <f>N2/MIN($B2,$E2,$H2,$K2,$N2)</f>
        <v>1</v>
      </c>
      <c r="O40" s="5">
        <f>O2</f>
        <v>110.779067722389</v>
      </c>
      <c r="P40" s="5">
        <f>P2</f>
        <v>0.35455413575100397</v>
      </c>
    </row>
    <row r="41" spans="1:16" x14ac:dyDescent="0.2">
      <c r="A41">
        <v>65</v>
      </c>
      <c r="B41" s="3">
        <f t="shared" ref="B41:B71" si="2">B3/MIN($B3,$E3,$H3,$K3,$N3)</f>
        <v>1.1718584300822643</v>
      </c>
      <c r="C41" s="5">
        <f t="shared" ref="C41:D41" si="3">C3</f>
        <v>189.49040174484199</v>
      </c>
      <c r="D41" s="5">
        <f t="shared" si="3"/>
        <v>0.96584249430867797</v>
      </c>
      <c r="E41" s="3">
        <f t="shared" ref="E41:E71" si="4">E3/MIN($B3,$E3,$H3,$K3,$N3)</f>
        <v>1.0659806105289242</v>
      </c>
      <c r="F41" s="5">
        <f t="shared" ref="F41:G41" si="5">F3</f>
        <v>179.19803551747</v>
      </c>
      <c r="G41" s="5">
        <f t="shared" si="5"/>
        <v>0.99346582017927998</v>
      </c>
      <c r="H41" s="3">
        <f t="shared" ref="H41:H71" si="6">H3/MIN($B3,$E3,$H3,$K3,$N3)</f>
        <v>1</v>
      </c>
      <c r="I41" s="5">
        <f t="shared" ref="I41:J41" si="7">I3</f>
        <v>171.20817810442</v>
      </c>
      <c r="J41" s="5">
        <f t="shared" si="7"/>
        <v>0.92862654865508198</v>
      </c>
      <c r="K41" s="3">
        <f t="shared" ref="K41:K71" si="8">K3/MIN($B3,$E3,$H3,$K3,$N3)</f>
        <v>1.0433464457706927</v>
      </c>
      <c r="L41" s="5">
        <f t="shared" ref="L41:M41" si="9">L3</f>
        <v>168.47045368572901</v>
      </c>
      <c r="M41" s="5">
        <f t="shared" si="9"/>
        <v>1.1334566713315799</v>
      </c>
      <c r="N41" s="3">
        <f t="shared" ref="N41:N71" si="10">N3/MIN($B3,$E3,$H3,$K3,$N3)</f>
        <v>1.0743159918276652</v>
      </c>
      <c r="O41" s="5">
        <f t="shared" ref="O41:P41" si="11">O3</f>
        <v>191.83644250223</v>
      </c>
      <c r="P41" s="5">
        <f t="shared" si="11"/>
        <v>0.73719348825664699</v>
      </c>
    </row>
    <row r="42" spans="1:16" x14ac:dyDescent="0.2">
      <c r="A42">
        <v>98</v>
      </c>
      <c r="B42" s="3">
        <f t="shared" si="2"/>
        <v>2.9818861131704097</v>
      </c>
      <c r="C42" s="5">
        <f t="shared" ref="C42:D42" si="12">C4</f>
        <v>194.152021408081</v>
      </c>
      <c r="D42" s="5">
        <f t="shared" si="12"/>
        <v>1.00944368307168</v>
      </c>
      <c r="E42" s="3">
        <f t="shared" si="4"/>
        <v>1</v>
      </c>
      <c r="F42" s="5">
        <f t="shared" ref="F42:G42" si="13">F4</f>
        <v>198.655282308875</v>
      </c>
      <c r="G42" s="5">
        <f t="shared" si="13"/>
        <v>0.34840919764515299</v>
      </c>
      <c r="H42" s="3">
        <f t="shared" si="6"/>
        <v>2.0942970397942418</v>
      </c>
      <c r="I42" s="5">
        <f t="shared" ref="I42:J42" si="14">I4</f>
        <v>194.29295807369101</v>
      </c>
      <c r="J42" s="5">
        <f t="shared" si="14"/>
        <v>0.85667304479942297</v>
      </c>
      <c r="K42" s="3">
        <f t="shared" si="8"/>
        <v>4.5776392592806641</v>
      </c>
      <c r="L42" s="5">
        <f t="shared" ref="L42:M42" si="15">L4</f>
        <v>196.49870410048501</v>
      </c>
      <c r="M42" s="5">
        <f t="shared" si="15"/>
        <v>1.8857963791491901</v>
      </c>
      <c r="N42" s="3">
        <f t="shared" si="10"/>
        <v>1.6660907572216368</v>
      </c>
      <c r="O42" s="5">
        <f t="shared" ref="O42:P42" si="16">O4</f>
        <v>193.78946769633001</v>
      </c>
      <c r="P42" s="5">
        <f t="shared" si="16"/>
        <v>0.67755825564001404</v>
      </c>
    </row>
    <row r="43" spans="1:16" x14ac:dyDescent="0.2">
      <c r="A43">
        <v>114</v>
      </c>
      <c r="B43" s="3">
        <f t="shared" si="2"/>
        <v>1.5796143535766074</v>
      </c>
      <c r="C43" s="5">
        <f t="shared" ref="C43:D43" si="17">C5</f>
        <v>59.503060579299898</v>
      </c>
      <c r="D43" s="5">
        <f t="shared" si="17"/>
        <v>0.86733628890001502</v>
      </c>
      <c r="E43" s="3">
        <f t="shared" si="4"/>
        <v>1.2381936128970481</v>
      </c>
      <c r="F43" s="5">
        <f t="shared" ref="F43:G43" si="18">F5</f>
        <v>52.295170773032503</v>
      </c>
      <c r="G43" s="5">
        <f t="shared" si="18"/>
        <v>0.6589834757659</v>
      </c>
      <c r="H43" s="3">
        <f t="shared" si="6"/>
        <v>1.0154767956567661</v>
      </c>
      <c r="I43" s="5">
        <f t="shared" ref="I43:J43" si="19">I5</f>
        <v>46.195420668987303</v>
      </c>
      <c r="J43" s="5">
        <f t="shared" si="19"/>
        <v>0.56742228553755403</v>
      </c>
      <c r="K43" s="3">
        <f t="shared" si="8"/>
        <v>1</v>
      </c>
      <c r="L43" s="5">
        <f t="shared" ref="L43:M43" si="20">L5</f>
        <v>45.891310783386501</v>
      </c>
      <c r="M43" s="5">
        <f t="shared" si="20"/>
        <v>0.56913798074458</v>
      </c>
      <c r="N43" s="3">
        <f t="shared" si="10"/>
        <v>1.2476407049314389</v>
      </c>
      <c r="O43" s="5">
        <f t="shared" ref="O43:P43" si="21">O5</f>
        <v>66.431458257828993</v>
      </c>
      <c r="P43" s="5">
        <f t="shared" si="21"/>
        <v>0.68971685398820604</v>
      </c>
    </row>
    <row r="44" spans="1:16" x14ac:dyDescent="0.2">
      <c r="A44">
        <v>123</v>
      </c>
      <c r="B44" s="3">
        <f t="shared" si="2"/>
        <v>1.1449596823876551</v>
      </c>
      <c r="C44" s="5">
        <f t="shared" ref="C44:D44" si="22">C6</f>
        <v>123.161625862121</v>
      </c>
      <c r="D44" s="5">
        <f t="shared" si="22"/>
        <v>1.0714338963924199</v>
      </c>
      <c r="E44" s="3">
        <f t="shared" si="4"/>
        <v>1.021043342371051</v>
      </c>
      <c r="F44" s="5">
        <f t="shared" ref="F44:G44" si="23">F6</f>
        <v>121.95017267975</v>
      </c>
      <c r="G44" s="5">
        <f t="shared" si="23"/>
        <v>0.99921980378140496</v>
      </c>
      <c r="H44" s="3">
        <f t="shared" si="6"/>
        <v>1</v>
      </c>
      <c r="I44" s="5">
        <f t="shared" ref="I44:J44" si="24">I6</f>
        <v>123.28163678902401</v>
      </c>
      <c r="J44" s="5">
        <f t="shared" si="24"/>
        <v>0.96419454455245801</v>
      </c>
      <c r="K44" s="3">
        <f t="shared" si="8"/>
        <v>1.0567425057542295</v>
      </c>
      <c r="L44" s="5">
        <f t="shared" ref="L44:M44" si="25">L6</f>
        <v>121.680945707343</v>
      </c>
      <c r="M44" s="5">
        <f t="shared" si="25"/>
        <v>0.97698327695805998</v>
      </c>
      <c r="N44" s="3">
        <f t="shared" si="10"/>
        <v>1.0719242521118784</v>
      </c>
      <c r="O44" s="5">
        <f t="shared" ref="O44:P44" si="26">O6</f>
        <v>120.49738575923899</v>
      </c>
      <c r="P44" s="5">
        <f t="shared" si="26"/>
        <v>0.97302492433489995</v>
      </c>
    </row>
    <row r="45" spans="1:16" x14ac:dyDescent="0.2">
      <c r="A45">
        <v>168</v>
      </c>
      <c r="B45" s="3">
        <f t="shared" si="2"/>
        <v>1.0777925575684522</v>
      </c>
      <c r="C45" s="5">
        <f t="shared" ref="C45:D45" si="27">C7</f>
        <v>142.82186031341499</v>
      </c>
      <c r="D45" s="5">
        <f t="shared" si="27"/>
        <v>0.92167747270589095</v>
      </c>
      <c r="E45" s="3">
        <f t="shared" si="4"/>
        <v>1.3114494096583207</v>
      </c>
      <c r="F45" s="5">
        <f t="shared" ref="F45:G45" si="28">F7</f>
        <v>139.36390958595899</v>
      </c>
      <c r="G45" s="5">
        <f t="shared" si="28"/>
        <v>1.3221926509023001</v>
      </c>
      <c r="H45" s="3">
        <f t="shared" si="6"/>
        <v>1.092049160274658</v>
      </c>
      <c r="I45" s="5">
        <f t="shared" ref="I45:J45" si="29">I7</f>
        <v>127.431545786011</v>
      </c>
      <c r="J45" s="5">
        <f t="shared" si="29"/>
        <v>0.98810337540251303</v>
      </c>
      <c r="K45" s="3">
        <f t="shared" si="8"/>
        <v>1</v>
      </c>
      <c r="L45" s="5">
        <f t="shared" ref="L45:M45" si="30">L7</f>
        <v>136.35454231461699</v>
      </c>
      <c r="M45" s="5">
        <f t="shared" si="30"/>
        <v>1.0556304636157701</v>
      </c>
      <c r="N45" s="3">
        <f t="shared" si="10"/>
        <v>1.1093308953905208</v>
      </c>
      <c r="O45" s="5">
        <f t="shared" ref="O45:P45" si="31">O7</f>
        <v>125.35305496746901</v>
      </c>
      <c r="P45" s="5">
        <f t="shared" si="31"/>
        <v>0.90576127053802802</v>
      </c>
    </row>
    <row r="46" spans="1:16" x14ac:dyDescent="0.2">
      <c r="A46">
        <v>172</v>
      </c>
      <c r="B46" s="3">
        <f t="shared" si="2"/>
        <v>1.2502379284890954</v>
      </c>
      <c r="C46" s="5">
        <f t="shared" ref="C46:D46" si="32">C8</f>
        <v>129.74249124526901</v>
      </c>
      <c r="D46" s="5">
        <f t="shared" si="32"/>
        <v>0.81505420722153399</v>
      </c>
      <c r="E46" s="3">
        <f t="shared" si="4"/>
        <v>1.0678156364593672</v>
      </c>
      <c r="F46" s="5">
        <f t="shared" ref="F46:G46" si="33">F8</f>
        <v>122.744314063288</v>
      </c>
      <c r="G46" s="5">
        <f t="shared" si="33"/>
        <v>0.78170999555890597</v>
      </c>
      <c r="H46" s="3">
        <f t="shared" si="6"/>
        <v>1.0064778047274323</v>
      </c>
      <c r="I46" s="5">
        <f t="shared" ref="I46:J46" si="34">I8</f>
        <v>123.577947496503</v>
      </c>
      <c r="J46" s="5">
        <f t="shared" si="34"/>
        <v>0.78082250811812104</v>
      </c>
      <c r="K46" s="3">
        <f t="shared" si="8"/>
        <v>1.3319126860447326</v>
      </c>
      <c r="L46" s="5">
        <f t="shared" ref="L46:M46" si="35">L8</f>
        <v>134.41745480354399</v>
      </c>
      <c r="M46" s="5">
        <f t="shared" si="35"/>
        <v>1.1603766647039899</v>
      </c>
      <c r="N46" s="3">
        <f t="shared" si="10"/>
        <v>1</v>
      </c>
      <c r="O46" s="5">
        <f t="shared" ref="O46:P46" si="36">O8</f>
        <v>122.131358861545</v>
      </c>
      <c r="P46" s="5">
        <f t="shared" si="36"/>
        <v>0.73982901426454994</v>
      </c>
    </row>
    <row r="47" spans="1:16" x14ac:dyDescent="0.2">
      <c r="A47">
        <v>185</v>
      </c>
      <c r="B47" s="3">
        <f t="shared" si="2"/>
        <v>1</v>
      </c>
      <c r="C47" s="5">
        <f t="shared" ref="C47:D47" si="37">C9</f>
        <v>113.132393360137</v>
      </c>
      <c r="D47" s="5">
        <f t="shared" si="37"/>
        <v>0.83481346872971096</v>
      </c>
      <c r="E47" s="3">
        <f t="shared" si="4"/>
        <v>1.1017050446036458</v>
      </c>
      <c r="F47" s="5">
        <f t="shared" ref="F47:G47" si="38">F9</f>
        <v>97.700367494684201</v>
      </c>
      <c r="G47" s="5">
        <f t="shared" si="38"/>
        <v>0.85835183006424198</v>
      </c>
      <c r="H47" s="3">
        <f t="shared" si="6"/>
        <v>1.1298061435752793</v>
      </c>
      <c r="I47" s="5">
        <f t="shared" ref="I47:J47" si="39">I9</f>
        <v>98.537851742119997</v>
      </c>
      <c r="J47" s="5">
        <f t="shared" si="39"/>
        <v>0.89303157527503696</v>
      </c>
      <c r="K47" s="3">
        <f t="shared" si="8"/>
        <v>1.0737313206610581</v>
      </c>
      <c r="L47" s="5">
        <f t="shared" ref="L47:M47" si="40">L9</f>
        <v>102.506922493711</v>
      </c>
      <c r="M47" s="5">
        <f t="shared" si="40"/>
        <v>0.81560242796050897</v>
      </c>
      <c r="N47" s="3">
        <f t="shared" si="10"/>
        <v>1.2344268911322684</v>
      </c>
      <c r="O47" s="5">
        <f t="shared" ref="O47:P47" si="41">O9</f>
        <v>120.75390331773301</v>
      </c>
      <c r="P47" s="5">
        <f t="shared" si="41"/>
        <v>0.90292392236027397</v>
      </c>
    </row>
    <row r="48" spans="1:16" x14ac:dyDescent="0.2">
      <c r="A48">
        <v>195</v>
      </c>
      <c r="B48" s="3">
        <f t="shared" si="2"/>
        <v>1.5761821902624467</v>
      </c>
      <c r="C48" s="5">
        <f t="shared" ref="C48:D48" si="42">C10</f>
        <v>102.37876176834099</v>
      </c>
      <c r="D48" s="5">
        <f t="shared" si="42"/>
        <v>0.76818808869219302</v>
      </c>
      <c r="E48" s="3">
        <f t="shared" si="4"/>
        <v>1.0720379456528777</v>
      </c>
      <c r="F48" s="5">
        <f t="shared" ref="F48:G48" si="43">F10</f>
        <v>90.783409211563495</v>
      </c>
      <c r="G48" s="5">
        <f t="shared" si="43"/>
        <v>0.52772235836524095</v>
      </c>
      <c r="H48" s="3">
        <f t="shared" si="6"/>
        <v>1</v>
      </c>
      <c r="I48" s="5">
        <f t="shared" ref="I48:J48" si="44">I10</f>
        <v>91.268709308194303</v>
      </c>
      <c r="J48" s="5">
        <f t="shared" si="44"/>
        <v>0.53444986403383898</v>
      </c>
      <c r="K48" s="3">
        <f t="shared" si="8"/>
        <v>1.069093207114701</v>
      </c>
      <c r="L48" s="5">
        <f t="shared" ref="L48:M48" si="45">L10</f>
        <v>89.5603862663922</v>
      </c>
      <c r="M48" s="5">
        <f t="shared" si="45"/>
        <v>0.53382797745910304</v>
      </c>
      <c r="N48" s="3">
        <f t="shared" si="10"/>
        <v>1.0204219868886542</v>
      </c>
      <c r="O48" s="5">
        <f t="shared" ref="O48:P48" si="46">O10</f>
        <v>87.883168695940796</v>
      </c>
      <c r="P48" s="5">
        <f t="shared" si="46"/>
        <v>0.45519385002841001</v>
      </c>
    </row>
    <row r="49" spans="1:16" x14ac:dyDescent="0.2">
      <c r="A49">
        <v>197</v>
      </c>
      <c r="B49" s="3">
        <f t="shared" si="2"/>
        <v>1</v>
      </c>
      <c r="C49" s="5">
        <f t="shared" ref="C49:D49" si="47">C11</f>
        <v>150.872600078582</v>
      </c>
      <c r="D49" s="5">
        <f t="shared" si="47"/>
        <v>0.74401833093412295</v>
      </c>
      <c r="E49" s="3">
        <f t="shared" si="4"/>
        <v>1.1313904690144929</v>
      </c>
      <c r="F49" s="5">
        <f t="shared" ref="F49:G49" si="48">F11</f>
        <v>139.818165296465</v>
      </c>
      <c r="G49" s="5">
        <f t="shared" si="48"/>
        <v>0.83446832872863996</v>
      </c>
      <c r="H49" s="3">
        <f t="shared" si="6"/>
        <v>1.0785325498643339</v>
      </c>
      <c r="I49" s="5">
        <f t="shared" ref="I49:J49" si="49">I11</f>
        <v>142.12587301735499</v>
      </c>
      <c r="J49" s="5">
        <f t="shared" si="49"/>
        <v>0.85846874026028896</v>
      </c>
      <c r="K49" s="3">
        <f t="shared" si="8"/>
        <v>1.0829303275268745</v>
      </c>
      <c r="L49" s="5">
        <f t="shared" ref="L49:M49" si="50">L11</f>
        <v>141.30402987855001</v>
      </c>
      <c r="M49" s="5">
        <f t="shared" si="50"/>
        <v>0.74145811673009199</v>
      </c>
      <c r="N49" s="3">
        <f t="shared" si="10"/>
        <v>1.1373664451718715</v>
      </c>
      <c r="O49" s="5">
        <f t="shared" ref="O49:P49" si="51">O11</f>
        <v>139.96003559936699</v>
      </c>
      <c r="P49" s="5">
        <f t="shared" si="51"/>
        <v>0.68029117562276797</v>
      </c>
    </row>
    <row r="50" spans="1:16" x14ac:dyDescent="0.2">
      <c r="A50">
        <v>237</v>
      </c>
      <c r="B50" s="3">
        <f t="shared" si="2"/>
        <v>2.2202304646342004</v>
      </c>
      <c r="C50" s="5">
        <f t="shared" ref="C50:D50" si="52">C12</f>
        <v>147.35212326049799</v>
      </c>
      <c r="D50" s="5">
        <f t="shared" si="52"/>
        <v>1.12967540542024</v>
      </c>
      <c r="E50" s="3">
        <f t="shared" si="4"/>
        <v>1.2229683345656206</v>
      </c>
      <c r="F50" s="5">
        <f t="shared" ref="F50:G50" si="53">F12</f>
        <v>125.235767098729</v>
      </c>
      <c r="G50" s="5">
        <f t="shared" si="53"/>
        <v>0.54339941350544196</v>
      </c>
      <c r="H50" s="3">
        <f t="shared" si="6"/>
        <v>1</v>
      </c>
      <c r="I50" s="5">
        <f t="shared" ref="I50:J50" si="54">I12</f>
        <v>119.491543689002</v>
      </c>
      <c r="J50" s="5">
        <f t="shared" si="54"/>
        <v>0.59546293317501298</v>
      </c>
      <c r="K50" s="3">
        <f t="shared" si="8"/>
        <v>1.0053295734967476</v>
      </c>
      <c r="L50" s="5">
        <f t="shared" ref="L50:M50" si="55">L12</f>
        <v>109.18348009757899</v>
      </c>
      <c r="M50" s="5">
        <f t="shared" si="55"/>
        <v>0.55259426481688201</v>
      </c>
      <c r="N50" s="3">
        <f t="shared" si="10"/>
        <v>1.1010532522791654</v>
      </c>
      <c r="O50" s="5">
        <f t="shared" ref="O50:P50" si="56">O12</f>
        <v>95.589458901941896</v>
      </c>
      <c r="P50" s="5">
        <f t="shared" si="56"/>
        <v>0.425321276065318</v>
      </c>
    </row>
    <row r="51" spans="1:16" x14ac:dyDescent="0.2">
      <c r="A51">
        <v>272</v>
      </c>
      <c r="B51" s="3">
        <f t="shared" si="2"/>
        <v>2.2180101132943322</v>
      </c>
      <c r="C51" s="5">
        <f t="shared" ref="C51:D51" si="57">C13</f>
        <v>159.00068283081001</v>
      </c>
      <c r="D51" s="5">
        <f t="shared" si="57"/>
        <v>1.6758196950703199</v>
      </c>
      <c r="E51" s="3">
        <f t="shared" si="4"/>
        <v>1.0269547192634532</v>
      </c>
      <c r="F51" s="5">
        <f t="shared" ref="F51:G51" si="58">F13</f>
        <v>145.14119736861201</v>
      </c>
      <c r="G51" s="5">
        <f t="shared" si="58"/>
        <v>0.84864270259796903</v>
      </c>
      <c r="H51" s="3">
        <f t="shared" si="6"/>
        <v>1</v>
      </c>
      <c r="I51" s="5">
        <f t="shared" ref="I51:J51" si="59">I13</f>
        <v>141.022988253965</v>
      </c>
      <c r="J51" s="5">
        <f t="shared" si="59"/>
        <v>0.72546665893395001</v>
      </c>
      <c r="K51" s="3">
        <f t="shared" si="8"/>
        <v>1.0091087956742915</v>
      </c>
      <c r="L51" s="5">
        <f t="shared" ref="L51:M51" si="60">L13</f>
        <v>155.11123808139601</v>
      </c>
      <c r="M51" s="5">
        <f t="shared" si="60"/>
        <v>0.88307360888863295</v>
      </c>
      <c r="N51" s="3">
        <f t="shared" si="10"/>
        <v>1.0104070150112219</v>
      </c>
      <c r="O51" s="5">
        <f t="shared" ref="O51:P51" si="61">O13</f>
        <v>138.06363229187301</v>
      </c>
      <c r="P51" s="5">
        <f t="shared" si="61"/>
        <v>0.60858718255523303</v>
      </c>
    </row>
    <row r="52" spans="1:16" x14ac:dyDescent="0.2">
      <c r="A52">
        <v>279</v>
      </c>
      <c r="B52" s="3">
        <f t="shared" si="2"/>
        <v>2.0475064807786478</v>
      </c>
      <c r="C52" s="5">
        <f t="shared" ref="C52:D52" si="62">C14</f>
        <v>129.343104362487</v>
      </c>
      <c r="D52" s="5">
        <f t="shared" si="62"/>
        <v>0.943042955336029</v>
      </c>
      <c r="E52" s="3">
        <f t="shared" si="4"/>
        <v>1.0487849326689878</v>
      </c>
      <c r="F52" s="5">
        <f t="shared" ref="F52:G52" si="63">F14</f>
        <v>91.364041413681093</v>
      </c>
      <c r="G52" s="5">
        <f t="shared" si="63"/>
        <v>0.57707656543660402</v>
      </c>
      <c r="H52" s="3">
        <f t="shared" si="6"/>
        <v>1.0492612290362566</v>
      </c>
      <c r="I52" s="5">
        <f t="shared" ref="I52:J52" si="64">I14</f>
        <v>96.449961350566497</v>
      </c>
      <c r="J52" s="5">
        <f t="shared" si="64"/>
        <v>0.57353526258417997</v>
      </c>
      <c r="K52" s="3">
        <f t="shared" si="8"/>
        <v>1.5356859701600445</v>
      </c>
      <c r="L52" s="5">
        <f t="shared" ref="L52:M52" si="65">L14</f>
        <v>117.20449555649699</v>
      </c>
      <c r="M52" s="5">
        <f t="shared" si="65"/>
        <v>0.86465639604797295</v>
      </c>
      <c r="N52" s="3">
        <f t="shared" si="10"/>
        <v>1</v>
      </c>
      <c r="O52" s="5">
        <f t="shared" ref="O52:P52" si="66">O14</f>
        <v>92.728707573298806</v>
      </c>
      <c r="P52" s="5">
        <f t="shared" si="66"/>
        <v>0.54657444469196104</v>
      </c>
    </row>
    <row r="53" spans="1:16" x14ac:dyDescent="0.2">
      <c r="A53">
        <v>709</v>
      </c>
      <c r="B53" s="3">
        <f t="shared" si="2"/>
        <v>2.7149201486277237</v>
      </c>
      <c r="C53" s="5">
        <f t="shared" ref="C53:D53" si="67">C15</f>
        <v>129.280400276184</v>
      </c>
      <c r="D53" s="5">
        <f t="shared" si="67"/>
        <v>3.8246467737671097E-2</v>
      </c>
      <c r="E53" s="3">
        <f t="shared" si="4"/>
        <v>1.1198949779328797</v>
      </c>
      <c r="F53" s="5">
        <f t="shared" ref="F53:G53" si="68">F15</f>
        <v>183.67090019803399</v>
      </c>
      <c r="G53" s="5">
        <f t="shared" si="68"/>
        <v>1.2730766131148199E-2</v>
      </c>
      <c r="H53" s="3">
        <f t="shared" si="6"/>
        <v>2.8241018083741234</v>
      </c>
      <c r="I53" s="5">
        <f t="shared" ref="I53:J53" si="69">I15</f>
        <v>171.784658476814</v>
      </c>
      <c r="J53" s="5">
        <f t="shared" si="69"/>
        <v>4.6043461269688002E-2</v>
      </c>
      <c r="K53" s="3">
        <f t="shared" si="8"/>
        <v>1.001736183021636</v>
      </c>
      <c r="L53" s="5">
        <f t="shared" ref="L53:M53" si="70">L15</f>
        <v>132.535442974521</v>
      </c>
      <c r="M53" s="5">
        <f t="shared" si="70"/>
        <v>1.22224625557851E-2</v>
      </c>
      <c r="N53" s="3">
        <f t="shared" si="10"/>
        <v>1</v>
      </c>
      <c r="O53" s="5">
        <f t="shared" ref="O53:P53" si="71">O15</f>
        <v>151.54345567805299</v>
      </c>
      <c r="P53" s="5">
        <f t="shared" si="71"/>
        <v>1.36678629290517E-2</v>
      </c>
    </row>
    <row r="54" spans="1:16" x14ac:dyDescent="0.2">
      <c r="A54">
        <v>712</v>
      </c>
      <c r="B54" s="3">
        <f t="shared" si="2"/>
        <v>1.6783770806657019</v>
      </c>
      <c r="C54" s="5">
        <f t="shared" ref="C54:D54" si="72">C16</f>
        <v>153.13695669174101</v>
      </c>
      <c r="D54" s="5">
        <f t="shared" si="72"/>
        <v>0.802072469300528</v>
      </c>
      <c r="E54" s="3">
        <f t="shared" si="4"/>
        <v>1.0460962737632866</v>
      </c>
      <c r="F54" s="5">
        <f t="shared" ref="F54:G54" si="73">F16</f>
        <v>129.52510133865599</v>
      </c>
      <c r="G54" s="5">
        <f t="shared" si="73"/>
        <v>0.66111218449446796</v>
      </c>
      <c r="H54" s="3">
        <f t="shared" si="6"/>
        <v>1</v>
      </c>
      <c r="I54" s="5">
        <f t="shared" ref="I54:J54" si="74">I16</f>
        <v>128.11462322754701</v>
      </c>
      <c r="J54" s="5">
        <f t="shared" si="74"/>
        <v>0.66924511652819696</v>
      </c>
      <c r="K54" s="3">
        <f t="shared" si="8"/>
        <v>1.3679213256629739</v>
      </c>
      <c r="L54" s="5">
        <f t="shared" ref="L54:M54" si="75">L16</f>
        <v>137.968145397634</v>
      </c>
      <c r="M54" s="5">
        <f t="shared" si="75"/>
        <v>1.04089711662763</v>
      </c>
      <c r="N54" s="3">
        <f t="shared" si="10"/>
        <v>1.0119154831585508</v>
      </c>
      <c r="O54" s="5">
        <f t="shared" ref="O54:P54" si="76">O16</f>
        <v>131.025773739286</v>
      </c>
      <c r="P54" s="5">
        <f t="shared" si="76"/>
        <v>0.67467787365069798</v>
      </c>
    </row>
    <row r="55" spans="1:16" x14ac:dyDescent="0.2">
      <c r="A55">
        <v>714</v>
      </c>
      <c r="B55" s="3">
        <f t="shared" si="2"/>
        <v>4.8758922748451399</v>
      </c>
      <c r="C55" s="5">
        <f t="shared" ref="C55:D55" si="77">C17</f>
        <v>172.989964485168</v>
      </c>
      <c r="D55" s="5">
        <f t="shared" si="77"/>
        <v>1.0654438274093501</v>
      </c>
      <c r="E55" s="3">
        <f t="shared" si="4"/>
        <v>1</v>
      </c>
      <c r="F55" s="5">
        <f t="shared" ref="F55:G55" si="78">F17</f>
        <v>115.85790890621099</v>
      </c>
      <c r="G55" s="5">
        <f t="shared" si="78"/>
        <v>0.27313364596908402</v>
      </c>
      <c r="H55" s="3">
        <f t="shared" si="6"/>
        <v>1.7442787676529612</v>
      </c>
      <c r="I55" s="5">
        <f t="shared" ref="I55:J55" si="79">I17</f>
        <v>143.87515757841601</v>
      </c>
      <c r="J55" s="5">
        <f t="shared" si="79"/>
        <v>0.48392190645711403</v>
      </c>
      <c r="K55" s="3">
        <f t="shared" si="8"/>
        <v>1.0073295967910179</v>
      </c>
      <c r="L55" s="5">
        <f t="shared" ref="L55:M55" si="80">L17</f>
        <v>151.38219352528699</v>
      </c>
      <c r="M55" s="5">
        <f t="shared" si="80"/>
        <v>0.241200108197279</v>
      </c>
      <c r="N55" s="3">
        <f t="shared" si="10"/>
        <v>1.0097695373988504</v>
      </c>
      <c r="O55" s="5">
        <f t="shared" ref="O55:P55" si="81">O17</f>
        <v>152.57827001012399</v>
      </c>
      <c r="P55" s="5">
        <f t="shared" si="81"/>
        <v>0.237469859808151</v>
      </c>
    </row>
    <row r="56" spans="1:16" x14ac:dyDescent="0.2">
      <c r="A56">
        <v>722</v>
      </c>
      <c r="B56" s="3">
        <f t="shared" si="2"/>
        <v>1.5105582397247055</v>
      </c>
      <c r="C56" s="5">
        <f t="shared" ref="C56:D56" si="82">C18</f>
        <v>131.692123413085</v>
      </c>
      <c r="D56" s="5">
        <f t="shared" si="82"/>
        <v>1.1299582955538701</v>
      </c>
      <c r="E56" s="3">
        <f t="shared" si="4"/>
        <v>1.1459487295207993</v>
      </c>
      <c r="F56" s="5">
        <f t="shared" ref="F56:G56" si="83">F18</f>
        <v>119.58094322038301</v>
      </c>
      <c r="G56" s="5">
        <f t="shared" si="83"/>
        <v>0.83321798769566302</v>
      </c>
      <c r="H56" s="3">
        <f t="shared" si="6"/>
        <v>1</v>
      </c>
      <c r="I56" s="5">
        <f t="shared" ref="I56:J56" si="84">I18</f>
        <v>112.059680098347</v>
      </c>
      <c r="J56" s="5">
        <f t="shared" si="84"/>
        <v>0.66815728931571405</v>
      </c>
      <c r="K56" s="3">
        <f t="shared" si="8"/>
        <v>1.0694844027218988</v>
      </c>
      <c r="L56" s="5">
        <f t="shared" ref="L56:M56" si="85">L18</f>
        <v>116.05941572904599</v>
      </c>
      <c r="M56" s="5">
        <f t="shared" si="85"/>
        <v>0.74807293491997395</v>
      </c>
      <c r="N56" s="3">
        <f t="shared" si="10"/>
        <v>1.1714764792697461</v>
      </c>
      <c r="O56" s="5">
        <f t="shared" ref="O56:P56" si="86">O18</f>
        <v>134.53173918333599</v>
      </c>
      <c r="P56" s="5">
        <f t="shared" si="86"/>
        <v>0.61446383942521499</v>
      </c>
    </row>
    <row r="57" spans="1:16" x14ac:dyDescent="0.2">
      <c r="A57">
        <v>724</v>
      </c>
      <c r="B57" s="3">
        <f t="shared" si="2"/>
        <v>1.6114076916362763</v>
      </c>
      <c r="C57" s="5">
        <f t="shared" ref="C57:D57" si="87">C19</f>
        <v>86.079436540603595</v>
      </c>
      <c r="D57" s="5">
        <f t="shared" si="87"/>
        <v>1.10026804342009</v>
      </c>
      <c r="E57" s="3">
        <f t="shared" si="4"/>
        <v>1.0894926860641483</v>
      </c>
      <c r="F57" s="5">
        <f t="shared" ref="F57:G57" si="88">F19</f>
        <v>62.0953075805023</v>
      </c>
      <c r="G57" s="5">
        <f t="shared" si="88"/>
        <v>0.76970395255276502</v>
      </c>
      <c r="H57" s="3">
        <f t="shared" si="6"/>
        <v>1</v>
      </c>
      <c r="I57" s="5">
        <f t="shared" ref="I57:J57" si="89">I19</f>
        <v>58.804966744470697</v>
      </c>
      <c r="J57" s="5">
        <f t="shared" si="89"/>
        <v>0.69874173972664899</v>
      </c>
      <c r="K57" s="3">
        <f t="shared" si="8"/>
        <v>1.0072712485911819</v>
      </c>
      <c r="L57" s="5">
        <f t="shared" ref="L57:M57" si="90">L19</f>
        <v>57.194816996080398</v>
      </c>
      <c r="M57" s="5">
        <f t="shared" si="90"/>
        <v>0.70399280709386802</v>
      </c>
      <c r="N57" s="3">
        <f t="shared" si="10"/>
        <v>1.1136716772098789</v>
      </c>
      <c r="O57" s="5">
        <f t="shared" ref="O57:P57" si="91">O19</f>
        <v>64.753226687364204</v>
      </c>
      <c r="P57" s="5">
        <f t="shared" si="91"/>
        <v>0.80253787159451395</v>
      </c>
    </row>
    <row r="58" spans="1:16" x14ac:dyDescent="0.2">
      <c r="A58">
        <v>749</v>
      </c>
      <c r="B58" s="3">
        <f t="shared" si="2"/>
        <v>2.7067846444053676</v>
      </c>
      <c r="C58" s="5">
        <f t="shared" ref="C58:D58" si="92">C20</f>
        <v>154.27682399749699</v>
      </c>
      <c r="D58" s="5">
        <f t="shared" si="92"/>
        <v>2.0559066027088102</v>
      </c>
      <c r="E58" s="3">
        <f t="shared" si="4"/>
        <v>1</v>
      </c>
      <c r="F58" s="5">
        <f t="shared" ref="F58:G58" si="93">F20</f>
        <v>104.79200705662301</v>
      </c>
      <c r="G58" s="5">
        <f t="shared" si="93"/>
        <v>0.67526558216079302</v>
      </c>
      <c r="H58" s="3">
        <f t="shared" si="6"/>
        <v>1.2056649774100781</v>
      </c>
      <c r="I58" s="5">
        <f t="shared" ref="I58:J58" si="94">I20</f>
        <v>128.27109383298099</v>
      </c>
      <c r="J58" s="5">
        <f t="shared" si="94"/>
        <v>0.928532382154303</v>
      </c>
      <c r="K58" s="3">
        <f t="shared" si="8"/>
        <v>1.5822513375492289</v>
      </c>
      <c r="L58" s="5">
        <f t="shared" ref="L58:M58" si="95">L20</f>
        <v>133.006027489319</v>
      </c>
      <c r="M58" s="5">
        <f t="shared" si="95"/>
        <v>1.2583416183731799</v>
      </c>
      <c r="N58" s="3">
        <f t="shared" si="10"/>
        <v>1.0852833395630999</v>
      </c>
      <c r="O58" s="5">
        <f t="shared" ref="O58:P58" si="96">O20</f>
        <v>117.91569262410999</v>
      </c>
      <c r="P58" s="5">
        <f t="shared" si="96"/>
        <v>0.83958760682955602</v>
      </c>
    </row>
    <row r="59" spans="1:16" x14ac:dyDescent="0.2">
      <c r="A59">
        <v>777</v>
      </c>
      <c r="B59" s="3">
        <f t="shared" si="2"/>
        <v>1.592040921211034</v>
      </c>
      <c r="C59" s="5">
        <f t="shared" ref="C59:D59" si="97">C21</f>
        <v>154.727959632873</v>
      </c>
      <c r="D59" s="5">
        <f t="shared" si="97"/>
        <v>1.03137540138761</v>
      </c>
      <c r="E59" s="3">
        <f t="shared" si="4"/>
        <v>1.0245229379323626</v>
      </c>
      <c r="F59" s="5">
        <f t="shared" ref="F59:G59" si="98">F21</f>
        <v>148.45549180987899</v>
      </c>
      <c r="G59" s="5">
        <f t="shared" si="98"/>
        <v>0.83128728193778301</v>
      </c>
      <c r="H59" s="3">
        <f t="shared" si="6"/>
        <v>1.0628255021152588</v>
      </c>
      <c r="I59" s="5">
        <f t="shared" ref="I59:J59" si="99">I21</f>
        <v>152.93196159695799</v>
      </c>
      <c r="J59" s="5">
        <f t="shared" si="99"/>
        <v>0.97062079010012003</v>
      </c>
      <c r="K59" s="3">
        <f t="shared" si="8"/>
        <v>1</v>
      </c>
      <c r="L59" s="5">
        <f t="shared" ref="L59:M59" si="100">L21</f>
        <v>150.39925899815299</v>
      </c>
      <c r="M59" s="5">
        <f t="shared" si="100"/>
        <v>0.75083379024544905</v>
      </c>
      <c r="N59" s="3">
        <f t="shared" si="10"/>
        <v>1.0611832440575359</v>
      </c>
      <c r="O59" s="5">
        <f t="shared" ref="O59:P59" si="101">O21</f>
        <v>164.07872462440301</v>
      </c>
      <c r="P59" s="5">
        <f t="shared" si="101"/>
        <v>0.61596461842621497</v>
      </c>
    </row>
    <row r="60" spans="1:16" x14ac:dyDescent="0.2">
      <c r="A60">
        <v>782</v>
      </c>
      <c r="B60" s="3">
        <f t="shared" si="2"/>
        <v>1.2174663323990456</v>
      </c>
      <c r="C60" s="5">
        <f t="shared" ref="C60:D60" si="102">C22</f>
        <v>141.26343727111799</v>
      </c>
      <c r="D60" s="5">
        <f t="shared" si="102"/>
        <v>0.93926378114228903</v>
      </c>
      <c r="E60" s="3">
        <f t="shared" si="4"/>
        <v>1.0386617847549335</v>
      </c>
      <c r="F60" s="5">
        <f t="shared" ref="F60:G60" si="103">F22</f>
        <v>117.390931991899</v>
      </c>
      <c r="G60" s="5">
        <f t="shared" si="103"/>
        <v>0.705667132586836</v>
      </c>
      <c r="H60" s="3">
        <f t="shared" si="6"/>
        <v>1.074949209861005</v>
      </c>
      <c r="I60" s="5">
        <f t="shared" ref="I60:J60" si="104">I22</f>
        <v>111.057721083226</v>
      </c>
      <c r="J60" s="5">
        <f t="shared" si="104"/>
        <v>0.76955724329321396</v>
      </c>
      <c r="K60" s="3">
        <f t="shared" si="8"/>
        <v>1.0605980901578245</v>
      </c>
      <c r="L60" s="5">
        <f t="shared" ref="L60:M60" si="105">L22</f>
        <v>111.788865496873</v>
      </c>
      <c r="M60" s="5">
        <f t="shared" si="105"/>
        <v>0.73082831496670198</v>
      </c>
      <c r="N60" s="3">
        <f t="shared" si="10"/>
        <v>1</v>
      </c>
      <c r="O60" s="5">
        <f t="shared" ref="O60:P60" si="106">O22</f>
        <v>107.762939464217</v>
      </c>
      <c r="P60" s="5">
        <f t="shared" si="106"/>
        <v>0.69912211495369903</v>
      </c>
    </row>
    <row r="61" spans="1:16" x14ac:dyDescent="0.2">
      <c r="A61">
        <v>792</v>
      </c>
      <c r="B61" s="3">
        <f t="shared" si="2"/>
        <v>1.2013566738276158</v>
      </c>
      <c r="C61" s="5">
        <f t="shared" ref="C61:D61" si="107">C23</f>
        <v>118.139827251434</v>
      </c>
      <c r="D61" s="5">
        <f t="shared" si="107"/>
        <v>0.91689145357005997</v>
      </c>
      <c r="E61" s="3">
        <f t="shared" si="4"/>
        <v>1.0121592778478865</v>
      </c>
      <c r="F61" s="5">
        <f t="shared" ref="F61:G61" si="108">F23</f>
        <v>95.898137138436098</v>
      </c>
      <c r="G61" s="5">
        <f t="shared" si="108"/>
        <v>0.84458714262376</v>
      </c>
      <c r="H61" s="3">
        <f t="shared" si="6"/>
        <v>1.024388284868359</v>
      </c>
      <c r="I61" s="5">
        <f t="shared" ref="I61:J61" si="109">I23</f>
        <v>98.178779697200497</v>
      </c>
      <c r="J61" s="5">
        <f t="shared" si="109"/>
        <v>0.82206466545410894</v>
      </c>
      <c r="K61" s="3">
        <f t="shared" si="8"/>
        <v>1</v>
      </c>
      <c r="L61" s="5">
        <f t="shared" ref="L61:M61" si="110">L23</f>
        <v>91.094665630756197</v>
      </c>
      <c r="M61" s="5">
        <f t="shared" si="110"/>
        <v>0.78997580829112102</v>
      </c>
      <c r="N61" s="3">
        <f t="shared" si="10"/>
        <v>1.141563460210604</v>
      </c>
      <c r="O61" s="5">
        <f t="shared" ref="O61:P61" si="111">O23</f>
        <v>104.430713660949</v>
      </c>
      <c r="P61" s="5">
        <f t="shared" si="111"/>
        <v>0.82569482835657904</v>
      </c>
    </row>
    <row r="62" spans="1:16" x14ac:dyDescent="0.2">
      <c r="A62">
        <v>804</v>
      </c>
      <c r="B62" s="3">
        <f t="shared" si="2"/>
        <v>1.346136541046294</v>
      </c>
      <c r="C62" s="5">
        <f t="shared" ref="C62:D62" si="112">C24</f>
        <v>140.94434976577699</v>
      </c>
      <c r="D62" s="5">
        <f t="shared" si="112"/>
        <v>0.74212312676235104</v>
      </c>
      <c r="E62" s="3">
        <f t="shared" si="4"/>
        <v>1.2362738000597477</v>
      </c>
      <c r="F62" s="5">
        <f t="shared" ref="F62:G62" si="113">F24</f>
        <v>121.618919795236</v>
      </c>
      <c r="G62" s="5">
        <f t="shared" si="113"/>
        <v>0.80897774369873499</v>
      </c>
      <c r="H62" s="3">
        <f t="shared" si="6"/>
        <v>1</v>
      </c>
      <c r="I62" s="5">
        <f t="shared" ref="I62:J62" si="114">I24</f>
        <v>129.54866452372801</v>
      </c>
      <c r="J62" s="5">
        <f t="shared" si="114"/>
        <v>0.64952956056420297</v>
      </c>
      <c r="K62" s="3">
        <f t="shared" si="8"/>
        <v>1.1520529739144751</v>
      </c>
      <c r="L62" s="5">
        <f t="shared" ref="L62:M62" si="115">L24</f>
        <v>135.82314956034199</v>
      </c>
      <c r="M62" s="5">
        <f t="shared" si="115"/>
        <v>0.846311261394734</v>
      </c>
      <c r="N62" s="3">
        <f t="shared" si="10"/>
        <v>1.113161298396405</v>
      </c>
      <c r="O62" s="5">
        <f t="shared" ref="O62:P62" si="116">O24</f>
        <v>134.983902908294</v>
      </c>
      <c r="P62" s="5">
        <f t="shared" si="116"/>
        <v>0.76499516978168303</v>
      </c>
    </row>
    <row r="63" spans="1:16" x14ac:dyDescent="0.2">
      <c r="A63">
        <v>812</v>
      </c>
      <c r="B63" s="3">
        <f t="shared" si="2"/>
        <v>1.0591765899721666</v>
      </c>
      <c r="C63" s="5">
        <f t="shared" ref="C63:D63" si="117">C25</f>
        <v>94.631123542785602</v>
      </c>
      <c r="D63" s="5">
        <f t="shared" si="117"/>
        <v>2.2636610220395599</v>
      </c>
      <c r="E63" s="3">
        <f t="shared" si="4"/>
        <v>1.048517001831849</v>
      </c>
      <c r="F63" s="5">
        <f t="shared" ref="F63:G63" si="118">F25</f>
        <v>87.441142348662893</v>
      </c>
      <c r="G63" s="5">
        <f t="shared" si="118"/>
        <v>1.9372161433797701</v>
      </c>
      <c r="H63" s="3">
        <f t="shared" si="6"/>
        <v>1.0022923526299043</v>
      </c>
      <c r="I63" s="5">
        <f t="shared" ref="I63:J63" si="119">I25</f>
        <v>89.427618941987404</v>
      </c>
      <c r="J63" s="5">
        <f t="shared" si="119"/>
        <v>1.8967838475333201</v>
      </c>
      <c r="K63" s="3">
        <f t="shared" si="8"/>
        <v>1.0685267476857783</v>
      </c>
      <c r="L63" s="5">
        <f t="shared" ref="L63:M63" si="120">L25</f>
        <v>96.811058383382701</v>
      </c>
      <c r="M63" s="5">
        <f t="shared" si="120"/>
        <v>2.4370181409295899</v>
      </c>
      <c r="N63" s="3">
        <f t="shared" si="10"/>
        <v>1</v>
      </c>
      <c r="O63" s="5">
        <f t="shared" ref="O63:P63" si="121">O25</f>
        <v>91.226394572011799</v>
      </c>
      <c r="P63" s="5">
        <f t="shared" si="121"/>
        <v>2.1540016702832898</v>
      </c>
    </row>
    <row r="64" spans="1:16" x14ac:dyDescent="0.2">
      <c r="A64">
        <v>816</v>
      </c>
      <c r="B64" s="3">
        <f t="shared" si="2"/>
        <v>3.3655705332065344</v>
      </c>
      <c r="C64" s="5">
        <f t="shared" ref="C64:D64" si="122">C26</f>
        <v>163.17967176437301</v>
      </c>
      <c r="D64" s="5">
        <f t="shared" si="122"/>
        <v>1.0090173903003099</v>
      </c>
      <c r="E64" s="3">
        <f t="shared" si="4"/>
        <v>1.0745854803935531</v>
      </c>
      <c r="F64" s="5">
        <f t="shared" ref="F64:G64" si="123">F26</f>
        <v>163.98991841072501</v>
      </c>
      <c r="G64" s="5">
        <f t="shared" si="123"/>
        <v>0.36798252511766899</v>
      </c>
      <c r="H64" s="3">
        <f t="shared" si="6"/>
        <v>1.5306191129974862</v>
      </c>
      <c r="I64" s="5">
        <f t="shared" ref="I64:J64" si="124">I26</f>
        <v>180.668499357592</v>
      </c>
      <c r="J64" s="5">
        <f t="shared" si="124"/>
        <v>0.55510360722452701</v>
      </c>
      <c r="K64" s="3">
        <f t="shared" si="8"/>
        <v>1.2553206626028801</v>
      </c>
      <c r="L64" s="5">
        <f t="shared" ref="L64:M64" si="125">L26</f>
        <v>165.53961906577399</v>
      </c>
      <c r="M64" s="5">
        <f t="shared" si="125"/>
        <v>0.45308889504899402</v>
      </c>
      <c r="N64" s="3">
        <f t="shared" si="10"/>
        <v>1</v>
      </c>
      <c r="O64" s="5">
        <f t="shared" ref="O64:P64" si="126">O26</f>
        <v>158.351664133024</v>
      </c>
      <c r="P64" s="5">
        <f t="shared" si="126"/>
        <v>0.34653095081676899</v>
      </c>
    </row>
    <row r="65" spans="1:16" x14ac:dyDescent="0.2">
      <c r="A65">
        <v>822</v>
      </c>
      <c r="B65" s="3">
        <f t="shared" si="2"/>
        <v>1</v>
      </c>
      <c r="C65" s="5">
        <f t="shared" ref="C65:D65" si="127">C27</f>
        <v>132.49917030334399</v>
      </c>
      <c r="D65" s="5">
        <f t="shared" si="127"/>
        <v>0.58542264375633002</v>
      </c>
      <c r="E65" s="3">
        <f t="shared" si="4"/>
        <v>1.2633631843037494</v>
      </c>
      <c r="F65" s="5">
        <f t="shared" ref="F65:G65" si="128">F27</f>
        <v>117.853039235164</v>
      </c>
      <c r="G65" s="5">
        <f t="shared" si="128"/>
        <v>0.73394217883056201</v>
      </c>
      <c r="H65" s="3">
        <f t="shared" si="6"/>
        <v>1.1821252974539853</v>
      </c>
      <c r="I65" s="5">
        <f t="shared" ref="I65:J65" si="129">I27</f>
        <v>113.369994387609</v>
      </c>
      <c r="J65" s="5">
        <f t="shared" si="129"/>
        <v>0.67589753873245495</v>
      </c>
      <c r="K65" s="3">
        <f t="shared" si="8"/>
        <v>1.3081103505452292</v>
      </c>
      <c r="L65" s="5">
        <f t="shared" ref="L65:M65" si="130">L27</f>
        <v>112.77938885196799</v>
      </c>
      <c r="M65" s="5">
        <f t="shared" si="130"/>
        <v>0.87128203835325702</v>
      </c>
      <c r="N65" s="3">
        <f t="shared" si="10"/>
        <v>1.2411565108887073</v>
      </c>
      <c r="O65" s="5">
        <f t="shared" ref="O65:P65" si="131">O27</f>
        <v>125.141855535551</v>
      </c>
      <c r="P65" s="5">
        <f t="shared" si="131"/>
        <v>0.58278270466689397</v>
      </c>
    </row>
    <row r="66" spans="1:16" x14ac:dyDescent="0.2">
      <c r="A66">
        <v>827</v>
      </c>
      <c r="B66" s="3">
        <f t="shared" si="2"/>
        <v>1.0194797703249989</v>
      </c>
      <c r="C66" s="5">
        <f t="shared" ref="C66:D66" si="132">C28</f>
        <v>110.81888675689601</v>
      </c>
      <c r="D66" s="5">
        <f t="shared" si="132"/>
        <v>1.11251761862848</v>
      </c>
      <c r="E66" s="3">
        <f t="shared" si="4"/>
        <v>1.1048341622451681</v>
      </c>
      <c r="F66" s="5">
        <f t="shared" ref="F66:G66" si="133">F28</f>
        <v>103.70931982881601</v>
      </c>
      <c r="G66" s="5">
        <f t="shared" si="133"/>
        <v>1.34332111269333</v>
      </c>
      <c r="H66" s="3">
        <f t="shared" si="6"/>
        <v>1</v>
      </c>
      <c r="I66" s="5">
        <f t="shared" ref="I66:J66" si="134">I28</f>
        <v>97.207849998758505</v>
      </c>
      <c r="J66" s="5">
        <f t="shared" si="134"/>
        <v>1.09184827201388</v>
      </c>
      <c r="K66" s="3">
        <f t="shared" si="8"/>
        <v>1.1185413195697895</v>
      </c>
      <c r="L66" s="5">
        <f t="shared" ref="L66:M66" si="135">L28</f>
        <v>107.082617547436</v>
      </c>
      <c r="M66" s="5">
        <f t="shared" si="135"/>
        <v>1.2981230682382201</v>
      </c>
      <c r="N66" s="3">
        <f t="shared" si="10"/>
        <v>1.1565833199770896</v>
      </c>
      <c r="O66" s="5">
        <f t="shared" ref="O66:P66" si="136">O28</f>
        <v>128.30556767711201</v>
      </c>
      <c r="P66" s="5">
        <f t="shared" si="136"/>
        <v>1.1888715592174799</v>
      </c>
    </row>
    <row r="67" spans="1:16" x14ac:dyDescent="0.2">
      <c r="A67">
        <v>838</v>
      </c>
      <c r="B67" s="3">
        <f t="shared" si="2"/>
        <v>2.0328343429869511</v>
      </c>
      <c r="C67" s="5">
        <f t="shared" ref="C67:D67" si="137">C29</f>
        <v>110.57885885238601</v>
      </c>
      <c r="D67" s="5">
        <f t="shared" si="137"/>
        <v>1.5915685760491101</v>
      </c>
      <c r="E67" s="3">
        <f t="shared" si="4"/>
        <v>1.2228805221496355</v>
      </c>
      <c r="F67" s="5">
        <f t="shared" ref="F67:G67" si="138">F29</f>
        <v>96.573023574976304</v>
      </c>
      <c r="G67" s="5">
        <f t="shared" si="138"/>
        <v>1.0686986186384599</v>
      </c>
      <c r="H67" s="3">
        <f t="shared" si="6"/>
        <v>1</v>
      </c>
      <c r="I67" s="5">
        <f t="shared" ref="I67:J67" si="139">I29</f>
        <v>85.876610337178704</v>
      </c>
      <c r="J67" s="5">
        <f t="shared" si="139"/>
        <v>0.84607260632176096</v>
      </c>
      <c r="K67" s="3">
        <f t="shared" si="8"/>
        <v>1.2356353257749757</v>
      </c>
      <c r="L67" s="5">
        <f t="shared" ref="L67:M67" si="140">L29</f>
        <v>90.2262719595535</v>
      </c>
      <c r="M67" s="5">
        <f t="shared" si="140"/>
        <v>1.0660442044201901</v>
      </c>
      <c r="N67" s="3">
        <f t="shared" si="10"/>
        <v>1.100160143614868</v>
      </c>
      <c r="O67" s="5">
        <f t="shared" ref="O67:P67" si="141">O29</f>
        <v>86.001842230153301</v>
      </c>
      <c r="P67" s="5">
        <f t="shared" si="141"/>
        <v>0.82977864721285999</v>
      </c>
    </row>
    <row r="68" spans="1:16" x14ac:dyDescent="0.2">
      <c r="A68">
        <v>876</v>
      </c>
      <c r="B68" s="3">
        <f t="shared" si="2"/>
        <v>1</v>
      </c>
      <c r="C68" s="5">
        <f t="shared" ref="C68:D68" si="142">C30</f>
        <v>200</v>
      </c>
      <c r="D68" s="5">
        <f t="shared" si="142"/>
        <v>0.36571778010764999</v>
      </c>
      <c r="E68" s="3">
        <f t="shared" si="4"/>
        <v>1.0243485848199223</v>
      </c>
      <c r="F68" s="5">
        <f t="shared" ref="F68:G68" si="143">F30</f>
        <v>200</v>
      </c>
      <c r="G68" s="5">
        <f t="shared" si="143"/>
        <v>0.37462249153620603</v>
      </c>
      <c r="H68" s="3">
        <f t="shared" si="6"/>
        <v>1.6784519164456932</v>
      </c>
      <c r="I68" s="5">
        <f t="shared" ref="I68:J68" si="144">I30</f>
        <v>200</v>
      </c>
      <c r="J68" s="5">
        <f t="shared" si="144"/>
        <v>0.61383971060314702</v>
      </c>
      <c r="K68" s="3">
        <f t="shared" si="8"/>
        <v>1.6555740782683959</v>
      </c>
      <c r="L68" s="5">
        <f t="shared" ref="L68:M68" si="145">L30</f>
        <v>200</v>
      </c>
      <c r="M68" s="5">
        <f t="shared" si="145"/>
        <v>0.60547287838806896</v>
      </c>
      <c r="N68" s="3">
        <f t="shared" si="10"/>
        <v>1.2198519658272868</v>
      </c>
      <c r="O68" s="5">
        <f t="shared" ref="O68:P68" si="146">O30</f>
        <v>200</v>
      </c>
      <c r="P68" s="5">
        <f t="shared" si="146"/>
        <v>0.44612155424014399</v>
      </c>
    </row>
    <row r="69" spans="1:16" x14ac:dyDescent="0.2">
      <c r="A69">
        <v>877</v>
      </c>
      <c r="B69" s="3">
        <f t="shared" si="2"/>
        <v>1.9558343803996405</v>
      </c>
      <c r="C69" s="5">
        <f t="shared" ref="C69:D69" si="147">C31</f>
        <v>191.46479368209799</v>
      </c>
      <c r="D69" s="5">
        <f t="shared" si="147"/>
        <v>1.1906290216195501</v>
      </c>
      <c r="E69" s="3">
        <f t="shared" si="4"/>
        <v>1</v>
      </c>
      <c r="F69" s="5">
        <f t="shared" ref="F69:G69" si="148">F31</f>
        <v>166.113674015681</v>
      </c>
      <c r="G69" s="5">
        <f t="shared" si="148"/>
        <v>0.497582408090738</v>
      </c>
      <c r="H69" s="3">
        <f t="shared" si="6"/>
        <v>1.0570686250937997</v>
      </c>
      <c r="I69" s="5">
        <f t="shared" ref="I69:J69" si="149">I31</f>
        <v>173.44273345220799</v>
      </c>
      <c r="J69" s="5">
        <f t="shared" si="149"/>
        <v>0.64613918611943</v>
      </c>
      <c r="K69" s="3">
        <f t="shared" si="8"/>
        <v>1.0179393720666445</v>
      </c>
      <c r="L69" s="5">
        <f t="shared" ref="L69:M69" si="150">L31</f>
        <v>172.68126559343901</v>
      </c>
      <c r="M69" s="5">
        <f t="shared" si="150"/>
        <v>0.67753065139497604</v>
      </c>
      <c r="N69" s="3">
        <f t="shared" si="10"/>
        <v>1.0332758858969469</v>
      </c>
      <c r="O69" s="5">
        <f t="shared" ref="O69:P69" si="151">O31</f>
        <v>170.17647435854599</v>
      </c>
      <c r="P69" s="5">
        <f t="shared" si="151"/>
        <v>0.45061391282229601</v>
      </c>
    </row>
    <row r="70" spans="1:16" x14ac:dyDescent="0.2">
      <c r="A70">
        <v>888</v>
      </c>
      <c r="B70" s="3">
        <f t="shared" si="2"/>
        <v>1.247371449603885</v>
      </c>
      <c r="C70" s="5">
        <f t="shared" ref="C70:D70" si="152">C32</f>
        <v>108.21719169616701</v>
      </c>
      <c r="D70" s="5">
        <f t="shared" si="152"/>
        <v>0.61700623663519905</v>
      </c>
      <c r="E70" s="3">
        <f t="shared" si="4"/>
        <v>1.0158040906552108</v>
      </c>
      <c r="F70" s="5">
        <f t="shared" ref="F70:G70" si="153">F32</f>
        <v>96.403316844402696</v>
      </c>
      <c r="G70" s="5">
        <f t="shared" si="153"/>
        <v>0.54947203951392798</v>
      </c>
      <c r="H70" s="3">
        <f t="shared" si="6"/>
        <v>1.0759064785417758</v>
      </c>
      <c r="I70" s="5">
        <f t="shared" ref="I70:J70" si="154">I32</f>
        <v>94.8353814271766</v>
      </c>
      <c r="J70" s="5">
        <f t="shared" si="154"/>
        <v>0.58750909247377003</v>
      </c>
      <c r="K70" s="3">
        <f t="shared" si="8"/>
        <v>1</v>
      </c>
      <c r="L70" s="5">
        <f t="shared" ref="L70:M70" si="155">L32</f>
        <v>88.730014433410204</v>
      </c>
      <c r="M70" s="5">
        <f t="shared" si="155"/>
        <v>0.54238868164125398</v>
      </c>
      <c r="N70" s="3">
        <f t="shared" si="10"/>
        <v>1.0716128142054984</v>
      </c>
      <c r="O70" s="5">
        <f t="shared" ref="O70:P70" si="156">O32</f>
        <v>97.232311207248998</v>
      </c>
      <c r="P70" s="5">
        <f t="shared" si="156"/>
        <v>0.50377254015143402</v>
      </c>
    </row>
    <row r="71" spans="1:16" x14ac:dyDescent="0.2">
      <c r="A71">
        <v>890</v>
      </c>
      <c r="B71" s="3">
        <f t="shared" si="2"/>
        <v>1.7617117153210431</v>
      </c>
      <c r="C71" s="5">
        <f t="shared" ref="C71:D71" si="157">C33</f>
        <v>72.898066043853703</v>
      </c>
      <c r="D71" s="5">
        <f t="shared" si="157"/>
        <v>0.86924869573179098</v>
      </c>
      <c r="E71" s="3">
        <f t="shared" si="4"/>
        <v>1.0685685959986251</v>
      </c>
      <c r="F71" s="5">
        <f t="shared" ref="F71:G71" si="158">F33</f>
        <v>62.753118508957797</v>
      </c>
      <c r="G71" s="5">
        <f t="shared" si="158"/>
        <v>0.48869321768125001</v>
      </c>
      <c r="H71" s="3">
        <f t="shared" si="6"/>
        <v>1</v>
      </c>
      <c r="I71" s="5">
        <f t="shared" ref="I71:J71" si="159">I33</f>
        <v>57.883424366017501</v>
      </c>
      <c r="J71" s="5">
        <f t="shared" si="159"/>
        <v>0.51478707943246804</v>
      </c>
      <c r="K71" s="3">
        <f t="shared" si="8"/>
        <v>1.2505289335653826</v>
      </c>
      <c r="L71" s="5">
        <f t="shared" ref="L71:M71" si="160">L33</f>
        <v>72.725935734683105</v>
      </c>
      <c r="M71" s="5">
        <f t="shared" si="160"/>
        <v>0.59878758691700695</v>
      </c>
      <c r="N71" s="3">
        <f t="shared" si="10"/>
        <v>1.4242196363902451</v>
      </c>
      <c r="O71" s="5">
        <f t="shared" ref="O71:P71" si="161">O33</f>
        <v>74.091302665543196</v>
      </c>
      <c r="P71" s="5">
        <f t="shared" si="161"/>
        <v>0.66596610285183899</v>
      </c>
    </row>
    <row r="72" spans="1:16" ht="68" x14ac:dyDescent="0.2">
      <c r="A72" s="2" t="s">
        <v>81</v>
      </c>
      <c r="B72" s="3">
        <f>AVERAGE(B40:B71)</f>
        <v>1.7386382241079763</v>
      </c>
      <c r="C72" s="10">
        <f t="shared" ref="C72:P72" si="162">AVERAGE(C40:C71)</f>
        <v>135.92133633792358</v>
      </c>
      <c r="D72" s="10">
        <f t="shared" si="162"/>
        <v>0.99243537672570958</v>
      </c>
      <c r="E72" s="3">
        <f t="shared" si="162"/>
        <v>1.1017038775883323</v>
      </c>
      <c r="F72" s="10">
        <f t="shared" si="162"/>
        <v>122.5762731622614</v>
      </c>
      <c r="G72" s="10">
        <f t="shared" si="162"/>
        <v>0.73957392432502678</v>
      </c>
      <c r="H72" s="3">
        <f t="shared" si="162"/>
        <v>1.2014330837462195</v>
      </c>
      <c r="I72" s="10">
        <f t="shared" si="162"/>
        <v>123.0658180355554</v>
      </c>
      <c r="J72" s="10">
        <f t="shared" si="162"/>
        <v>0.75322667592301318</v>
      </c>
      <c r="K72" s="3">
        <f t="shared" si="162"/>
        <v>1.2575700552433944</v>
      </c>
      <c r="L72" s="10">
        <f t="shared" si="162"/>
        <v>123.95017064525099</v>
      </c>
      <c r="M72" s="10">
        <f t="shared" si="162"/>
        <v>0.85809163183398129</v>
      </c>
      <c r="N72" s="3">
        <f t="shared" si="162"/>
        <v>1.1133707183759887</v>
      </c>
      <c r="O72" s="10">
        <f t="shared" si="162"/>
        <v>124.99778103457851</v>
      </c>
      <c r="P72" s="10">
        <f t="shared" si="162"/>
        <v>0.68603597131611493</v>
      </c>
    </row>
  </sheetData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C958A-3E81-294C-8470-6E323F30F866}">
  <dimension ref="A1:R71"/>
  <sheetViews>
    <sheetView workbookViewId="0">
      <selection activeCell="D27" sqref="D27"/>
    </sheetView>
  </sheetViews>
  <sheetFormatPr baseColWidth="10" defaultRowHeight="16" x14ac:dyDescent="0.2"/>
  <cols>
    <col min="1" max="1" width="13.33203125" customWidth="1"/>
    <col min="2" max="2" width="11.5" style="3" customWidth="1"/>
    <col min="3" max="4" width="11.33203125" customWidth="1"/>
    <col min="5" max="5" width="12.5" style="3" customWidth="1"/>
    <col min="6" max="6" width="12.5" customWidth="1"/>
    <col min="7" max="7" width="12.6640625" customWidth="1"/>
    <col min="8" max="8" width="12" customWidth="1"/>
    <col min="9" max="9" width="12.1640625" customWidth="1"/>
    <col min="10" max="10" width="13" customWidth="1"/>
    <col min="11" max="11" width="12.33203125" style="3" customWidth="1"/>
    <col min="12" max="12" width="12.83203125" customWidth="1"/>
    <col min="13" max="13" width="12.6640625" customWidth="1"/>
    <col min="14" max="14" width="12.33203125" style="3" customWidth="1"/>
    <col min="15" max="16" width="12" customWidth="1"/>
    <col min="18" max="18" width="20.6640625" customWidth="1"/>
  </cols>
  <sheetData>
    <row r="1" spans="1:18" s="1" customFormat="1" ht="4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R1" s="1" t="s">
        <v>16</v>
      </c>
    </row>
    <row r="2" spans="1:18" x14ac:dyDescent="0.2">
      <c r="A2">
        <v>47</v>
      </c>
      <c r="B2" s="3">
        <v>6919.7170462382301</v>
      </c>
      <c r="C2">
        <v>130.79857826232899</v>
      </c>
      <c r="D2">
        <v>0.57905962264181199</v>
      </c>
      <c r="E2" s="3">
        <v>6393.2710294306698</v>
      </c>
      <c r="F2">
        <v>124.46870657701101</v>
      </c>
      <c r="G2">
        <v>0.59550928053681895</v>
      </c>
      <c r="H2">
        <v>6461.7402873419896</v>
      </c>
      <c r="I2">
        <v>132.51670060827101</v>
      </c>
      <c r="J2">
        <v>0.64555168368087801</v>
      </c>
      <c r="K2" s="3">
        <v>6089.3880630433296</v>
      </c>
      <c r="L2">
        <v>120.534961919975</v>
      </c>
      <c r="M2">
        <v>0.60805797710661502</v>
      </c>
      <c r="N2" s="3">
        <v>5234.1796543519204</v>
      </c>
      <c r="O2">
        <v>111.34332408958601</v>
      </c>
      <c r="P2">
        <v>0.45137842002413398</v>
      </c>
      <c r="R2" s="4" t="s">
        <v>17</v>
      </c>
    </row>
    <row r="3" spans="1:18" x14ac:dyDescent="0.2">
      <c r="A3">
        <v>65</v>
      </c>
      <c r="B3" s="3">
        <v>2034.9555891959899</v>
      </c>
      <c r="C3">
        <v>185.08385419845499</v>
      </c>
      <c r="D3">
        <v>1.41941647827231</v>
      </c>
      <c r="E3" s="3">
        <v>1327.08243076128</v>
      </c>
      <c r="F3">
        <v>179.19803551747</v>
      </c>
      <c r="G3">
        <v>0.99346582017927998</v>
      </c>
      <c r="H3">
        <v>1239.2871575567799</v>
      </c>
      <c r="I3">
        <v>170.61160916575199</v>
      </c>
      <c r="J3">
        <v>0.92400952101093803</v>
      </c>
      <c r="K3" s="3">
        <v>1256.9202843737701</v>
      </c>
      <c r="L3">
        <v>170.977127290781</v>
      </c>
      <c r="M3">
        <v>1.0593139328771299</v>
      </c>
      <c r="N3" s="3">
        <v>1406.9239107497599</v>
      </c>
      <c r="O3">
        <v>195.51936300745001</v>
      </c>
      <c r="P3">
        <v>0.74446040823585202</v>
      </c>
      <c r="R3" s="4" t="s">
        <v>18</v>
      </c>
    </row>
    <row r="4" spans="1:18" x14ac:dyDescent="0.2">
      <c r="A4">
        <v>98</v>
      </c>
      <c r="B4" s="3">
        <v>3049.7826152039001</v>
      </c>
      <c r="C4">
        <v>195.71894407272299</v>
      </c>
      <c r="D4">
        <v>0.90375889041003199</v>
      </c>
      <c r="E4" s="3">
        <v>1021.71897907121</v>
      </c>
      <c r="F4">
        <v>198.655282308875</v>
      </c>
      <c r="G4">
        <v>0.34840919764515299</v>
      </c>
      <c r="H4">
        <v>2141.04730763</v>
      </c>
      <c r="I4">
        <v>194.38312588301599</v>
      </c>
      <c r="J4">
        <v>0.85738579426678396</v>
      </c>
      <c r="K4" s="3">
        <v>1623.4701134234999</v>
      </c>
      <c r="L4">
        <v>194.64476057762701</v>
      </c>
      <c r="M4">
        <v>0.63817842162595295</v>
      </c>
      <c r="N4" s="3">
        <v>1432.4566301893201</v>
      </c>
      <c r="O4">
        <v>195.47523613445401</v>
      </c>
      <c r="P4">
        <v>0.55923547399647</v>
      </c>
      <c r="R4" s="4" t="s">
        <v>19</v>
      </c>
    </row>
    <row r="5" spans="1:18" x14ac:dyDescent="0.2">
      <c r="A5">
        <v>114</v>
      </c>
      <c r="B5" s="3">
        <v>56279.944847165498</v>
      </c>
      <c r="C5">
        <v>63.567107915878204</v>
      </c>
      <c r="D5">
        <v>0.82629649280256301</v>
      </c>
      <c r="E5" s="3">
        <v>51838.676431848799</v>
      </c>
      <c r="F5">
        <v>52.295170773032503</v>
      </c>
      <c r="G5">
        <v>0.6589834757659</v>
      </c>
      <c r="H5">
        <v>43880.021903022702</v>
      </c>
      <c r="I5">
        <v>44.7642491317118</v>
      </c>
      <c r="J5">
        <v>0.57748618943201901</v>
      </c>
      <c r="K5" s="3">
        <v>40722.962068955203</v>
      </c>
      <c r="L5">
        <v>47.789644562081598</v>
      </c>
      <c r="M5">
        <v>0.57234773599346001</v>
      </c>
      <c r="N5" s="3">
        <v>42254.188016912398</v>
      </c>
      <c r="O5">
        <v>49.329944058168003</v>
      </c>
      <c r="P5">
        <v>0.55650515375368503</v>
      </c>
      <c r="R5" s="4" t="s">
        <v>20</v>
      </c>
    </row>
    <row r="6" spans="1:18" x14ac:dyDescent="0.2">
      <c r="A6">
        <v>123</v>
      </c>
      <c r="B6" s="3">
        <v>11419.389125518001</v>
      </c>
      <c r="C6">
        <v>135.33495664596501</v>
      </c>
      <c r="D6">
        <v>1.16269807518499</v>
      </c>
      <c r="E6" s="3">
        <v>10174.113327250299</v>
      </c>
      <c r="F6">
        <v>121.95017267975</v>
      </c>
      <c r="G6">
        <v>0.99921980378140496</v>
      </c>
      <c r="H6">
        <v>10184.244439255501</v>
      </c>
      <c r="I6">
        <v>125.16153822767301</v>
      </c>
      <c r="J6">
        <v>0.97477951851366196</v>
      </c>
      <c r="K6" s="3">
        <v>10519.7649613741</v>
      </c>
      <c r="L6">
        <v>122.566567276863</v>
      </c>
      <c r="M6">
        <v>0.97030315086806196</v>
      </c>
      <c r="N6" s="3">
        <v>10981.9384189379</v>
      </c>
      <c r="O6">
        <v>121.698885588663</v>
      </c>
      <c r="P6">
        <v>0.94006020923712796</v>
      </c>
      <c r="R6" s="4" t="s">
        <v>21</v>
      </c>
    </row>
    <row r="7" spans="1:18" x14ac:dyDescent="0.2">
      <c r="A7">
        <v>168</v>
      </c>
      <c r="B7" s="3">
        <v>2333.8335416220202</v>
      </c>
      <c r="C7">
        <v>140.31487703323299</v>
      </c>
      <c r="D7">
        <v>0.88170053064656695</v>
      </c>
      <c r="E7" s="3">
        <v>3168.5763653876202</v>
      </c>
      <c r="F7">
        <v>139.36390958595899</v>
      </c>
      <c r="G7">
        <v>1.3221926509023001</v>
      </c>
      <c r="H7">
        <v>2634.8344864835999</v>
      </c>
      <c r="I7">
        <v>126.872166745564</v>
      </c>
      <c r="J7">
        <v>0.981639509463338</v>
      </c>
      <c r="K7" s="3">
        <v>2492.46846878307</v>
      </c>
      <c r="L7">
        <v>133.87217100874801</v>
      </c>
      <c r="M7">
        <v>1.0546677066636401</v>
      </c>
      <c r="N7" s="3">
        <v>2764.2902142815001</v>
      </c>
      <c r="O7">
        <v>135.679525691224</v>
      </c>
      <c r="P7">
        <v>0.94708645635225597</v>
      </c>
      <c r="R7" s="4" t="s">
        <v>22</v>
      </c>
    </row>
    <row r="8" spans="1:18" x14ac:dyDescent="0.2">
      <c r="A8">
        <v>172</v>
      </c>
      <c r="B8" s="3">
        <v>9080.2673969437692</v>
      </c>
      <c r="C8">
        <v>125.85959434509201</v>
      </c>
      <c r="D8">
        <v>0.66213934958534204</v>
      </c>
      <c r="E8" s="3">
        <v>9266.6779423716398</v>
      </c>
      <c r="F8">
        <v>122.744314063288</v>
      </c>
      <c r="G8">
        <v>0.78170999555890597</v>
      </c>
      <c r="H8">
        <v>9790.9906815048307</v>
      </c>
      <c r="I8">
        <v>116.12138243004701</v>
      </c>
      <c r="J8">
        <v>0.81594864700863201</v>
      </c>
      <c r="K8" s="3">
        <v>10550.944766015</v>
      </c>
      <c r="L8">
        <v>133.194017638725</v>
      </c>
      <c r="M8">
        <v>1.07611326085901</v>
      </c>
      <c r="N8" s="3">
        <v>9134.6160856848201</v>
      </c>
      <c r="O8">
        <v>114.90830319752899</v>
      </c>
      <c r="P8">
        <v>0.56129598108913703</v>
      </c>
      <c r="R8" s="4" t="s">
        <v>23</v>
      </c>
    </row>
    <row r="9" spans="1:18" x14ac:dyDescent="0.2">
      <c r="A9">
        <v>185</v>
      </c>
      <c r="B9" s="3">
        <v>28449.525268446901</v>
      </c>
      <c r="C9">
        <v>105.50377368927001</v>
      </c>
      <c r="D9">
        <v>0.75952725403090904</v>
      </c>
      <c r="E9" s="3">
        <v>30448.066101414901</v>
      </c>
      <c r="F9">
        <v>97.700367494684201</v>
      </c>
      <c r="G9">
        <v>0.85835183006424198</v>
      </c>
      <c r="H9">
        <v>33482.3689428711</v>
      </c>
      <c r="I9">
        <v>101.39435204861699</v>
      </c>
      <c r="J9">
        <v>0.97231158766154602</v>
      </c>
      <c r="K9" s="3">
        <v>30379.0561677634</v>
      </c>
      <c r="L9">
        <v>96.619117357730204</v>
      </c>
      <c r="M9">
        <v>0.77082001174755599</v>
      </c>
      <c r="N9" s="3">
        <v>30113.123094011498</v>
      </c>
      <c r="O9">
        <v>101.984015547016</v>
      </c>
      <c r="P9">
        <v>0.75430119018682495</v>
      </c>
      <c r="R9" s="4" t="s">
        <v>24</v>
      </c>
    </row>
    <row r="10" spans="1:18" x14ac:dyDescent="0.2">
      <c r="A10">
        <v>195</v>
      </c>
      <c r="B10" s="3">
        <v>64667.433782391498</v>
      </c>
      <c r="C10">
        <v>106.52636289596499</v>
      </c>
      <c r="D10">
        <v>0.69391546603932897</v>
      </c>
      <c r="E10" s="3">
        <v>53455.934241183102</v>
      </c>
      <c r="F10">
        <v>90.783409211563495</v>
      </c>
      <c r="G10">
        <v>0.52772235836524095</v>
      </c>
      <c r="H10">
        <v>56726.811200438802</v>
      </c>
      <c r="I10">
        <v>96.299699087725898</v>
      </c>
      <c r="J10">
        <v>0.58535594032244098</v>
      </c>
      <c r="K10" s="3">
        <v>59262.024335477501</v>
      </c>
      <c r="L10">
        <v>102.93429679536101</v>
      </c>
      <c r="M10">
        <v>0.65175317063871996</v>
      </c>
      <c r="N10" s="3">
        <v>56002.863889564098</v>
      </c>
      <c r="O10">
        <v>97.4456942803413</v>
      </c>
      <c r="P10">
        <v>0.58741063234519897</v>
      </c>
      <c r="R10" s="4" t="s">
        <v>25</v>
      </c>
    </row>
    <row r="11" spans="1:18" x14ac:dyDescent="0.2">
      <c r="A11">
        <v>197</v>
      </c>
      <c r="B11" s="3">
        <v>13213.3611166879</v>
      </c>
      <c r="C11">
        <v>133.09594392776401</v>
      </c>
      <c r="D11">
        <v>0.78374289686961895</v>
      </c>
      <c r="E11" s="3">
        <v>12811.7953336884</v>
      </c>
      <c r="F11">
        <v>139.818165296465</v>
      </c>
      <c r="G11">
        <v>0.83446832872863996</v>
      </c>
      <c r="H11">
        <v>12238.1135954947</v>
      </c>
      <c r="I11">
        <v>142.11346622277901</v>
      </c>
      <c r="J11">
        <v>0.85865762041608895</v>
      </c>
      <c r="K11" s="3">
        <v>11717.6202062006</v>
      </c>
      <c r="L11">
        <v>145.813361196752</v>
      </c>
      <c r="M11">
        <v>0.70919493264723299</v>
      </c>
      <c r="N11" s="3">
        <v>14000.878155087999</v>
      </c>
      <c r="O11">
        <v>137.97283122918901</v>
      </c>
      <c r="P11">
        <v>0.684057804806668</v>
      </c>
      <c r="R11" s="4" t="s">
        <v>26</v>
      </c>
    </row>
    <row r="12" spans="1:18" x14ac:dyDescent="0.2">
      <c r="A12">
        <v>237</v>
      </c>
      <c r="B12" s="3">
        <v>29120.563730807102</v>
      </c>
      <c r="C12">
        <v>142.75757074356</v>
      </c>
      <c r="D12">
        <v>0.83667266461706202</v>
      </c>
      <c r="E12" s="3">
        <v>23288.611136801301</v>
      </c>
      <c r="F12">
        <v>125.235767098729</v>
      </c>
      <c r="G12">
        <v>0.54339941350544196</v>
      </c>
      <c r="H12">
        <v>19552.865157726901</v>
      </c>
      <c r="I12">
        <v>115.27366736914099</v>
      </c>
      <c r="J12">
        <v>0.58249596009681304</v>
      </c>
      <c r="K12" s="3">
        <v>20231.232252948201</v>
      </c>
      <c r="L12">
        <v>117.56833408480701</v>
      </c>
      <c r="M12">
        <v>0.59579193608056202</v>
      </c>
      <c r="N12" s="3">
        <v>18839.6968328359</v>
      </c>
      <c r="O12">
        <v>113.02019335328001</v>
      </c>
      <c r="P12">
        <v>0.49074292536817898</v>
      </c>
      <c r="R12" s="4" t="s">
        <v>27</v>
      </c>
    </row>
    <row r="13" spans="1:18" x14ac:dyDescent="0.2">
      <c r="A13">
        <v>272</v>
      </c>
      <c r="B13" s="3">
        <v>2341.96520042463</v>
      </c>
      <c r="C13">
        <v>171.20482921600299</v>
      </c>
      <c r="D13">
        <v>1.3054845660202401</v>
      </c>
      <c r="E13" s="3">
        <v>1535.5831462210599</v>
      </c>
      <c r="F13">
        <v>145.14119736861201</v>
      </c>
      <c r="G13">
        <v>0.84864270259796903</v>
      </c>
      <c r="H13">
        <v>1496.9117589409</v>
      </c>
      <c r="I13">
        <v>140.884398221395</v>
      </c>
      <c r="J13">
        <v>0.72815278002837602</v>
      </c>
      <c r="K13" s="3">
        <v>1356.12956349665</v>
      </c>
      <c r="L13">
        <v>143.15727738409001</v>
      </c>
      <c r="M13">
        <v>0.72341040730391004</v>
      </c>
      <c r="N13" s="3">
        <v>1862.9543889291599</v>
      </c>
      <c r="O13">
        <v>148.37002995178401</v>
      </c>
      <c r="P13">
        <v>1.04954788476887</v>
      </c>
      <c r="R13" s="4" t="s">
        <v>28</v>
      </c>
    </row>
    <row r="14" spans="1:18" x14ac:dyDescent="0.2">
      <c r="A14">
        <v>279</v>
      </c>
      <c r="B14" s="3">
        <v>74382.084724750704</v>
      </c>
      <c r="C14">
        <v>139.778280258178</v>
      </c>
      <c r="D14">
        <v>1.0517932622939099</v>
      </c>
      <c r="E14" s="3">
        <v>34499.568050340204</v>
      </c>
      <c r="F14">
        <v>91.364041413681093</v>
      </c>
      <c r="G14">
        <v>0.57707656543660402</v>
      </c>
      <c r="H14">
        <v>35430.675647494303</v>
      </c>
      <c r="I14">
        <v>100.860082655131</v>
      </c>
      <c r="J14">
        <v>0.57803343744199798</v>
      </c>
      <c r="K14" s="3">
        <v>61048.744809819204</v>
      </c>
      <c r="L14">
        <v>116.53606557058799</v>
      </c>
      <c r="M14">
        <v>0.93874373334753602</v>
      </c>
      <c r="N14" s="3">
        <v>51687.6011127971</v>
      </c>
      <c r="O14">
        <v>106.93133870700299</v>
      </c>
      <c r="P14">
        <v>0.77514384227849298</v>
      </c>
      <c r="R14" s="4" t="s">
        <v>29</v>
      </c>
    </row>
    <row r="15" spans="1:18" x14ac:dyDescent="0.2">
      <c r="A15">
        <v>709</v>
      </c>
      <c r="B15" s="3">
        <v>2355.6032136164099</v>
      </c>
      <c r="C15">
        <v>159.32785272598201</v>
      </c>
      <c r="D15">
        <v>4.3470140499304602E-2</v>
      </c>
      <c r="E15" s="3">
        <v>857.36758722324896</v>
      </c>
      <c r="F15">
        <v>183.67090019803399</v>
      </c>
      <c r="G15">
        <v>1.2730766131148199E-2</v>
      </c>
      <c r="H15">
        <v>3161.4512055383602</v>
      </c>
      <c r="I15">
        <v>182.36176570993899</v>
      </c>
      <c r="J15">
        <v>7.0221373224160596E-2</v>
      </c>
      <c r="K15" s="3">
        <v>751.47326875746899</v>
      </c>
      <c r="L15">
        <v>131.7331866728</v>
      </c>
      <c r="M15">
        <v>1.24152359579502E-2</v>
      </c>
      <c r="N15" s="3">
        <v>919.96784000488901</v>
      </c>
      <c r="O15">
        <v>178.501093736629</v>
      </c>
      <c r="P15">
        <v>1.44291575938551E-2</v>
      </c>
      <c r="R15" s="4" t="s">
        <v>30</v>
      </c>
    </row>
    <row r="16" spans="1:18" x14ac:dyDescent="0.2">
      <c r="A16">
        <v>712</v>
      </c>
      <c r="B16" s="3">
        <v>3131.8577553905602</v>
      </c>
      <c r="C16">
        <v>138.33212852477999</v>
      </c>
      <c r="D16">
        <v>0.60890323270234403</v>
      </c>
      <c r="E16" s="3">
        <v>2688.0459949615401</v>
      </c>
      <c r="F16">
        <v>129.52510133865599</v>
      </c>
      <c r="G16">
        <v>0.66111218449446796</v>
      </c>
      <c r="H16">
        <v>2485.4520922694601</v>
      </c>
      <c r="I16">
        <v>132.03273397497099</v>
      </c>
      <c r="J16">
        <v>0.60335234818321704</v>
      </c>
      <c r="K16" s="3">
        <v>3408.70147635586</v>
      </c>
      <c r="L16">
        <v>136.65160341863299</v>
      </c>
      <c r="M16">
        <v>1.0054447115323499</v>
      </c>
      <c r="N16" s="3">
        <v>2358.26709687114</v>
      </c>
      <c r="O16">
        <v>130.04308849668899</v>
      </c>
      <c r="P16">
        <v>0.53604236069314604</v>
      </c>
      <c r="R16" s="4" t="s">
        <v>31</v>
      </c>
    </row>
    <row r="17" spans="1:18" x14ac:dyDescent="0.2">
      <c r="A17">
        <v>714</v>
      </c>
      <c r="B17" s="3">
        <v>2316.4672456134499</v>
      </c>
      <c r="C17">
        <v>163.74636888504</v>
      </c>
      <c r="D17">
        <v>0.85350041628912099</v>
      </c>
      <c r="E17" s="3">
        <v>518.87545650241896</v>
      </c>
      <c r="F17">
        <v>115.85790890621099</v>
      </c>
      <c r="G17">
        <v>0.27313364596908402</v>
      </c>
      <c r="H17">
        <v>973.91228324218196</v>
      </c>
      <c r="I17">
        <v>148.776701517475</v>
      </c>
      <c r="J17">
        <v>0.48106764520769302</v>
      </c>
      <c r="K17" s="3">
        <v>644.50788236339702</v>
      </c>
      <c r="L17">
        <v>151.25548563505399</v>
      </c>
      <c r="M17">
        <v>0.28982627863546001</v>
      </c>
      <c r="N17" s="3">
        <v>822.49600313044596</v>
      </c>
      <c r="O17">
        <v>158.408210394657</v>
      </c>
      <c r="P17">
        <v>0.33652087714868001</v>
      </c>
      <c r="R17" s="4" t="s">
        <v>32</v>
      </c>
    </row>
    <row r="18" spans="1:18" x14ac:dyDescent="0.2">
      <c r="A18">
        <v>722</v>
      </c>
      <c r="B18" s="3">
        <v>330339.14790711598</v>
      </c>
      <c r="C18">
        <v>131.206107139587</v>
      </c>
      <c r="D18">
        <v>1.21545359903609</v>
      </c>
      <c r="E18" s="3">
        <v>216823.902362956</v>
      </c>
      <c r="F18">
        <v>119.58094322038301</v>
      </c>
      <c r="G18">
        <v>0.83321798769566302</v>
      </c>
      <c r="H18">
        <v>173747.900587187</v>
      </c>
      <c r="I18">
        <v>100.609419674183</v>
      </c>
      <c r="J18">
        <v>0.60242739236551801</v>
      </c>
      <c r="K18" s="3">
        <v>215479.603481333</v>
      </c>
      <c r="L18">
        <v>108.171329308951</v>
      </c>
      <c r="M18">
        <v>0.755411882306117</v>
      </c>
      <c r="N18" s="3">
        <v>220768.50138932501</v>
      </c>
      <c r="O18">
        <v>125.663251271088</v>
      </c>
      <c r="P18">
        <v>0.80688063651775899</v>
      </c>
      <c r="R18" s="4" t="s">
        <v>33</v>
      </c>
    </row>
    <row r="19" spans="1:18" x14ac:dyDescent="0.2">
      <c r="A19">
        <v>724</v>
      </c>
      <c r="B19" s="3">
        <v>6484.1249216837195</v>
      </c>
      <c r="C19">
        <v>81.1862468719482</v>
      </c>
      <c r="D19">
        <v>1.0652143934333</v>
      </c>
      <c r="E19" s="3">
        <v>4993.8136231646404</v>
      </c>
      <c r="F19">
        <v>62.0953075805023</v>
      </c>
      <c r="G19">
        <v>0.76970395255276502</v>
      </c>
      <c r="H19">
        <v>4560.6932016141</v>
      </c>
      <c r="I19">
        <v>58.555371113764402</v>
      </c>
      <c r="J19">
        <v>0.69387334087233998</v>
      </c>
      <c r="K19" s="3">
        <v>4485.2428357512799</v>
      </c>
      <c r="L19">
        <v>64.231445211052801</v>
      </c>
      <c r="M19">
        <v>0.74306273744710705</v>
      </c>
      <c r="N19" s="3">
        <v>4845.6781114873202</v>
      </c>
      <c r="O19">
        <v>57.469809726394303</v>
      </c>
      <c r="P19">
        <v>0.65451952506177602</v>
      </c>
      <c r="R19" s="4" t="s">
        <v>34</v>
      </c>
    </row>
    <row r="20" spans="1:18" x14ac:dyDescent="0.2">
      <c r="A20">
        <v>749</v>
      </c>
      <c r="B20" s="3">
        <v>67073.583950762593</v>
      </c>
      <c r="C20">
        <v>141.82091951370199</v>
      </c>
      <c r="D20">
        <v>2.6088723714669699</v>
      </c>
      <c r="E20" s="3">
        <v>19024.317029594898</v>
      </c>
      <c r="F20">
        <v>104.79200705662301</v>
      </c>
      <c r="G20">
        <v>0.67526558216079302</v>
      </c>
      <c r="H20">
        <v>21925.501691103</v>
      </c>
      <c r="I20">
        <v>128.37522143886699</v>
      </c>
      <c r="J20">
        <v>0.87318670789305197</v>
      </c>
      <c r="K20" s="3">
        <v>30341.1567847515</v>
      </c>
      <c r="L20">
        <v>126.802888559994</v>
      </c>
      <c r="M20">
        <v>1.2311991874057999</v>
      </c>
      <c r="N20" s="3">
        <v>20114.680074184002</v>
      </c>
      <c r="O20">
        <v>121.717723230039</v>
      </c>
      <c r="P20">
        <v>0.84381106725850397</v>
      </c>
      <c r="R20" s="4" t="s">
        <v>36</v>
      </c>
    </row>
    <row r="21" spans="1:18" x14ac:dyDescent="0.2">
      <c r="A21">
        <v>777</v>
      </c>
      <c r="B21" s="3">
        <v>3201.1449514197202</v>
      </c>
      <c r="C21">
        <v>165.13296365737901</v>
      </c>
      <c r="D21">
        <v>0.85963484346143904</v>
      </c>
      <c r="E21" s="3">
        <v>2559.7417961342899</v>
      </c>
      <c r="F21">
        <v>148.45549180987899</v>
      </c>
      <c r="G21">
        <v>0.83128728193778301</v>
      </c>
      <c r="H21">
        <v>3522.0707382201899</v>
      </c>
      <c r="I21">
        <v>157.136595194835</v>
      </c>
      <c r="J21">
        <v>1.17075173076434</v>
      </c>
      <c r="K21" s="3">
        <v>2488.6598938951502</v>
      </c>
      <c r="L21">
        <v>151.70159501078601</v>
      </c>
      <c r="M21">
        <v>0.70105375108721202</v>
      </c>
      <c r="N21" s="3">
        <v>2498.0759302147599</v>
      </c>
      <c r="O21">
        <v>152.27801701019001</v>
      </c>
      <c r="P21">
        <v>0.70580082912610898</v>
      </c>
      <c r="R21" s="4" t="s">
        <v>38</v>
      </c>
    </row>
    <row r="22" spans="1:18" x14ac:dyDescent="0.2">
      <c r="A22">
        <v>782</v>
      </c>
      <c r="B22" s="3">
        <v>22934.100374769401</v>
      </c>
      <c r="C22">
        <v>143.212664127349</v>
      </c>
      <c r="D22">
        <v>0.93089034323392805</v>
      </c>
      <c r="E22" s="3">
        <v>19479.031510419802</v>
      </c>
      <c r="F22">
        <v>117.390931991899</v>
      </c>
      <c r="G22">
        <v>0.705667132586836</v>
      </c>
      <c r="H22">
        <v>20360.810624637699</v>
      </c>
      <c r="I22">
        <v>117.576737101304</v>
      </c>
      <c r="J22">
        <v>0.77719755935296697</v>
      </c>
      <c r="K22" s="3">
        <v>18842.7649479018</v>
      </c>
      <c r="L22">
        <v>110.53546063872101</v>
      </c>
      <c r="M22">
        <v>0.68803740281060599</v>
      </c>
      <c r="N22" s="3">
        <v>19139.328678122001</v>
      </c>
      <c r="O22">
        <v>113.662069639713</v>
      </c>
      <c r="P22">
        <v>0.71064626017009602</v>
      </c>
      <c r="R22" s="4" t="s">
        <v>40</v>
      </c>
    </row>
    <row r="23" spans="1:18" x14ac:dyDescent="0.2">
      <c r="A23">
        <v>792</v>
      </c>
      <c r="B23" s="3">
        <v>19152.927295846901</v>
      </c>
      <c r="C23">
        <v>104.94920015335001</v>
      </c>
      <c r="D23">
        <v>0.85095502107023002</v>
      </c>
      <c r="E23" s="3">
        <v>17062.984812482999</v>
      </c>
      <c r="F23">
        <v>95.898137138436098</v>
      </c>
      <c r="G23">
        <v>0.84458714262376</v>
      </c>
      <c r="H23">
        <v>17262.200054187</v>
      </c>
      <c r="I23">
        <v>98.395539983649996</v>
      </c>
      <c r="J23">
        <v>0.82423877712650795</v>
      </c>
      <c r="K23" s="3">
        <v>18006.546455127202</v>
      </c>
      <c r="L23">
        <v>92.537935264729001</v>
      </c>
      <c r="M23">
        <v>0.90247246621462496</v>
      </c>
      <c r="N23" s="3">
        <v>17207.605800878999</v>
      </c>
      <c r="O23">
        <v>92.674153052680495</v>
      </c>
      <c r="P23">
        <v>0.81888356983163502</v>
      </c>
      <c r="R23" s="4" t="s">
        <v>70</v>
      </c>
    </row>
    <row r="24" spans="1:18" x14ac:dyDescent="0.2">
      <c r="A24">
        <v>804</v>
      </c>
      <c r="B24" s="3">
        <v>4632.4917700952201</v>
      </c>
      <c r="C24">
        <v>148.71022701263399</v>
      </c>
      <c r="D24">
        <v>0.54857164586236395</v>
      </c>
      <c r="E24" s="3">
        <v>6392.3527955814998</v>
      </c>
      <c r="F24">
        <v>121.618919795236</v>
      </c>
      <c r="G24">
        <v>0.80897774369873499</v>
      </c>
      <c r="H24">
        <v>5988.4240480848302</v>
      </c>
      <c r="I24">
        <v>136.25701937595099</v>
      </c>
      <c r="J24">
        <v>0.77712647607441998</v>
      </c>
      <c r="K24" s="3">
        <v>6995.4978829073198</v>
      </c>
      <c r="L24">
        <v>141.81686653033501</v>
      </c>
      <c r="M24">
        <v>1.0165094236971901</v>
      </c>
      <c r="N24" s="3">
        <v>5322.1632694215996</v>
      </c>
      <c r="O24">
        <v>129.47943823864</v>
      </c>
      <c r="P24">
        <v>0.62307147579698696</v>
      </c>
      <c r="R24" s="4" t="s">
        <v>75</v>
      </c>
    </row>
    <row r="25" spans="1:18" x14ac:dyDescent="0.2">
      <c r="A25">
        <v>812</v>
      </c>
      <c r="B25" s="3">
        <v>28628.7128596449</v>
      </c>
      <c r="C25">
        <v>91.071730852127004</v>
      </c>
      <c r="D25">
        <v>2.1670736087202598</v>
      </c>
      <c r="E25" s="3">
        <v>25246.989055296301</v>
      </c>
      <c r="F25">
        <v>87.441142348662893</v>
      </c>
      <c r="G25">
        <v>1.9372161433797701</v>
      </c>
      <c r="H25">
        <v>25003.668877284399</v>
      </c>
      <c r="I25">
        <v>93.123315455441798</v>
      </c>
      <c r="J25">
        <v>1.98083906885709</v>
      </c>
      <c r="K25" s="3">
        <v>25143.882171871599</v>
      </c>
      <c r="L25">
        <v>95.129203151456494</v>
      </c>
      <c r="M25">
        <v>2.2989367997583101</v>
      </c>
      <c r="N25" s="3">
        <v>25097.6874296223</v>
      </c>
      <c r="O25">
        <v>83.388251995492098</v>
      </c>
      <c r="P25">
        <v>1.7138595774310199</v>
      </c>
      <c r="R25" s="4" t="s">
        <v>76</v>
      </c>
    </row>
    <row r="26" spans="1:18" x14ac:dyDescent="0.2">
      <c r="A26">
        <v>816</v>
      </c>
      <c r="B26" s="3">
        <v>7733.144509189</v>
      </c>
      <c r="C26">
        <v>179.66086864471399</v>
      </c>
      <c r="D26">
        <v>0.49274466246055199</v>
      </c>
      <c r="E26" s="3">
        <v>5744.0279621826703</v>
      </c>
      <c r="F26">
        <v>163.98991841072501</v>
      </c>
      <c r="G26">
        <v>0.36798252511766899</v>
      </c>
      <c r="H26">
        <v>6996.8847476358997</v>
      </c>
      <c r="I26">
        <v>181.77033878397901</v>
      </c>
      <c r="J26">
        <v>0.52158040274665496</v>
      </c>
      <c r="K26" s="3">
        <v>2986.2661813694999</v>
      </c>
      <c r="L26">
        <v>159.761971745344</v>
      </c>
      <c r="M26">
        <v>0.22002926020673999</v>
      </c>
      <c r="N26" s="3">
        <v>2991.9138632468698</v>
      </c>
      <c r="O26">
        <v>158.52983086158699</v>
      </c>
      <c r="P26">
        <v>0.20842821589756999</v>
      </c>
      <c r="R26" s="4" t="s">
        <v>88</v>
      </c>
    </row>
    <row r="27" spans="1:18" x14ac:dyDescent="0.2">
      <c r="A27">
        <v>822</v>
      </c>
      <c r="B27" s="3">
        <v>19527.083960489301</v>
      </c>
      <c r="C27">
        <v>138.56048583984301</v>
      </c>
      <c r="D27">
        <v>0.56524758523319196</v>
      </c>
      <c r="E27" s="3">
        <v>27464.9795929213</v>
      </c>
      <c r="F27">
        <v>117.853039235164</v>
      </c>
      <c r="G27">
        <v>0.73394217883056201</v>
      </c>
      <c r="H27">
        <v>24027.921925811501</v>
      </c>
      <c r="I27">
        <v>110.398318902041</v>
      </c>
      <c r="J27">
        <v>0.64286116451557496</v>
      </c>
      <c r="K27" s="3">
        <v>19644.134384818801</v>
      </c>
      <c r="L27">
        <v>116.81839768172701</v>
      </c>
      <c r="M27">
        <v>0.64694326029853999</v>
      </c>
      <c r="N27" s="3">
        <v>22064.4013679122</v>
      </c>
      <c r="O27">
        <v>116.345430079209</v>
      </c>
      <c r="P27">
        <v>0.58823195170009601</v>
      </c>
    </row>
    <row r="28" spans="1:18" x14ac:dyDescent="0.2">
      <c r="A28">
        <v>827</v>
      </c>
      <c r="B28" s="3">
        <v>67390.978149897695</v>
      </c>
      <c r="C28">
        <v>105.149340629577</v>
      </c>
      <c r="D28">
        <v>1.0493209278390701</v>
      </c>
      <c r="E28" s="3">
        <v>82190.067771210102</v>
      </c>
      <c r="F28">
        <v>103.70931982881601</v>
      </c>
      <c r="G28">
        <v>1.34332111269333</v>
      </c>
      <c r="H28">
        <v>72563.220667130401</v>
      </c>
      <c r="I28">
        <v>99.011938682529305</v>
      </c>
      <c r="J28">
        <v>1.0766556578478199</v>
      </c>
      <c r="K28" s="3">
        <v>80310.0197061824</v>
      </c>
      <c r="L28">
        <v>110.968215411777</v>
      </c>
      <c r="M28">
        <v>1.25155956114954</v>
      </c>
      <c r="N28" s="3">
        <v>73476.845812874904</v>
      </c>
      <c r="O28">
        <v>99.108727673419807</v>
      </c>
      <c r="P28">
        <v>1.0489113315524501</v>
      </c>
    </row>
    <row r="29" spans="1:18" x14ac:dyDescent="0.2">
      <c r="A29">
        <v>838</v>
      </c>
      <c r="B29" s="3">
        <v>15174.9736078847</v>
      </c>
      <c r="C29">
        <v>118.828177452087</v>
      </c>
      <c r="D29">
        <v>1.2591825865764601</v>
      </c>
      <c r="E29" s="3">
        <v>10118.810978817801</v>
      </c>
      <c r="F29">
        <v>96.573023574976304</v>
      </c>
      <c r="G29">
        <v>1.0686986186384599</v>
      </c>
      <c r="H29">
        <v>9009.5117852629901</v>
      </c>
      <c r="I29">
        <v>92.190088254615802</v>
      </c>
      <c r="J29">
        <v>0.93408803624366898</v>
      </c>
      <c r="K29" s="3">
        <v>11834.671429799</v>
      </c>
      <c r="L29">
        <v>91.895008462136701</v>
      </c>
      <c r="M29">
        <v>1.17104669866203</v>
      </c>
      <c r="N29" s="3">
        <v>8610.2410188027898</v>
      </c>
      <c r="O29">
        <v>93.052403333029801</v>
      </c>
      <c r="P29">
        <v>0.82382094095390002</v>
      </c>
    </row>
    <row r="30" spans="1:18" x14ac:dyDescent="0.2">
      <c r="A30">
        <v>876</v>
      </c>
      <c r="B30" s="3">
        <v>4463.51991146001</v>
      </c>
      <c r="C30">
        <v>200</v>
      </c>
      <c r="D30">
        <v>0.863081213990189</v>
      </c>
      <c r="E30" s="3">
        <v>1937.40167626628</v>
      </c>
      <c r="F30">
        <v>200</v>
      </c>
      <c r="G30">
        <v>0.37462249153620603</v>
      </c>
      <c r="H30">
        <v>2120.0100000000002</v>
      </c>
      <c r="I30">
        <v>200</v>
      </c>
      <c r="J30">
        <v>0.40993224998764399</v>
      </c>
      <c r="K30" s="3">
        <v>2527.9643169482902</v>
      </c>
      <c r="L30">
        <v>200</v>
      </c>
      <c r="M30">
        <v>0.48881566612190103</v>
      </c>
      <c r="N30" s="3">
        <v>1567.53991699218</v>
      </c>
      <c r="O30">
        <v>200</v>
      </c>
      <c r="P30">
        <v>0.30310478022181597</v>
      </c>
    </row>
    <row r="31" spans="1:18" x14ac:dyDescent="0.2">
      <c r="A31">
        <v>877</v>
      </c>
      <c r="B31" s="3">
        <v>3779.7486688932099</v>
      </c>
      <c r="C31">
        <v>188.866400718688</v>
      </c>
      <c r="D31">
        <v>1.09860107036493</v>
      </c>
      <c r="E31" s="3">
        <v>1979.0465472251301</v>
      </c>
      <c r="F31">
        <v>166.113674015681</v>
      </c>
      <c r="G31">
        <v>0.497582408090738</v>
      </c>
      <c r="H31">
        <v>2075.1305719649699</v>
      </c>
      <c r="I31">
        <v>173.43129173968001</v>
      </c>
      <c r="J31">
        <v>0.64605890828783497</v>
      </c>
      <c r="K31" s="3">
        <v>1869.35090090985</v>
      </c>
      <c r="L31">
        <v>169.51239310412501</v>
      </c>
      <c r="M31">
        <v>0.45245429886296801</v>
      </c>
      <c r="N31" s="3">
        <v>2032.25809494789</v>
      </c>
      <c r="O31">
        <v>164.41244972321601</v>
      </c>
      <c r="P31">
        <v>0.377093007524679</v>
      </c>
    </row>
    <row r="32" spans="1:18" x14ac:dyDescent="0.2">
      <c r="A32">
        <v>888</v>
      </c>
      <c r="B32" s="3">
        <v>6099.0353335588998</v>
      </c>
      <c r="C32">
        <v>107.288718223571</v>
      </c>
      <c r="D32">
        <v>0.63332466885852901</v>
      </c>
      <c r="E32" s="3">
        <v>5036.2184129450998</v>
      </c>
      <c r="F32">
        <v>96.403316844402696</v>
      </c>
      <c r="G32">
        <v>0.54947203951392798</v>
      </c>
      <c r="H32">
        <v>4819.9734613933997</v>
      </c>
      <c r="I32">
        <v>90.550423679877099</v>
      </c>
      <c r="J32">
        <v>0.51216043832979696</v>
      </c>
      <c r="K32" s="3">
        <v>5714.1253084472901</v>
      </c>
      <c r="L32">
        <v>101.520472058197</v>
      </c>
      <c r="M32">
        <v>0.67940194841215396</v>
      </c>
      <c r="N32" s="3">
        <v>5369.7271555923999</v>
      </c>
      <c r="O32">
        <v>128.08925898800101</v>
      </c>
      <c r="P32">
        <v>0.523306883738618</v>
      </c>
    </row>
    <row r="33" spans="1:16" x14ac:dyDescent="0.2">
      <c r="A33">
        <v>890</v>
      </c>
      <c r="B33" s="3">
        <v>8777.6393181766107</v>
      </c>
      <c r="C33">
        <v>82.509207725524902</v>
      </c>
      <c r="D33">
        <v>0.71719031391954602</v>
      </c>
      <c r="E33" s="3">
        <v>6860.7628469527199</v>
      </c>
      <c r="F33">
        <v>62.753118508957797</v>
      </c>
      <c r="G33">
        <v>0.48869321768125001</v>
      </c>
      <c r="H33">
        <v>5988.1283519236204</v>
      </c>
      <c r="I33">
        <v>51.447216917737599</v>
      </c>
      <c r="J33">
        <v>0.46432515734531199</v>
      </c>
      <c r="K33" s="3">
        <v>8196.2903295840497</v>
      </c>
      <c r="L33">
        <v>65.228608871662601</v>
      </c>
      <c r="M33">
        <v>0.594345570595602</v>
      </c>
      <c r="N33" s="3">
        <v>7705.7109331744095</v>
      </c>
      <c r="O33">
        <v>76.296355853066103</v>
      </c>
      <c r="P33">
        <v>0.571192811214977</v>
      </c>
    </row>
    <row r="34" spans="1:16" ht="86" customHeight="1" x14ac:dyDescent="0.2">
      <c r="A34" s="2" t="s">
        <v>81</v>
      </c>
      <c r="B34" s="3">
        <f>AVERAGE(B2:B33)</f>
        <v>28952.784677840762</v>
      </c>
      <c r="C34">
        <f t="shared" ref="C34:P34" si="0">AVERAGE(C2:C33)</f>
        <v>136.40950880944678</v>
      </c>
      <c r="D34">
        <f t="shared" si="0"/>
        <v>0.94679494357601546</v>
      </c>
      <c r="E34" s="3">
        <f t="shared" si="0"/>
        <v>21756.51288526904</v>
      </c>
      <c r="F34">
        <f t="shared" si="0"/>
        <v>122.5762731622614</v>
      </c>
      <c r="G34">
        <f t="shared" si="0"/>
        <v>0.73957392432502678</v>
      </c>
      <c r="H34">
        <f t="shared" si="0"/>
        <v>20057.89935875791</v>
      </c>
      <c r="I34">
        <f t="shared" si="0"/>
        <v>123.72676485305202</v>
      </c>
      <c r="J34">
        <f t="shared" si="0"/>
        <v>0.75449226951778514</v>
      </c>
      <c r="K34" s="3">
        <f t="shared" si="0"/>
        <v>22403.799553148387</v>
      </c>
      <c r="L34">
        <f t="shared" si="0"/>
        <v>124.13999279380032</v>
      </c>
      <c r="M34">
        <f t="shared" si="0"/>
        <v>0.79742695371629968</v>
      </c>
      <c r="N34" s="3">
        <f t="shared" si="0"/>
        <v>21519.650005973104</v>
      </c>
      <c r="O34">
        <f t="shared" si="0"/>
        <v>125.27494525435715</v>
      </c>
      <c r="P34">
        <f t="shared" si="0"/>
        <v>0.66593067630864267</v>
      </c>
    </row>
    <row r="37" spans="1:16" x14ac:dyDescent="0.2">
      <c r="A37" t="s">
        <v>89</v>
      </c>
    </row>
    <row r="38" spans="1:16" ht="51" x14ac:dyDescent="0.2">
      <c r="A38" s="1" t="s">
        <v>0</v>
      </c>
      <c r="B38" s="2" t="s">
        <v>1</v>
      </c>
      <c r="C38" s="1" t="s">
        <v>2</v>
      </c>
      <c r="D38" s="1" t="s">
        <v>3</v>
      </c>
      <c r="E38" s="2" t="s">
        <v>4</v>
      </c>
      <c r="F38" s="1" t="s">
        <v>5</v>
      </c>
      <c r="G38" s="1" t="s">
        <v>6</v>
      </c>
      <c r="H38" s="1" t="s">
        <v>7</v>
      </c>
      <c r="I38" s="1" t="s">
        <v>8</v>
      </c>
      <c r="J38" s="1" t="s">
        <v>9</v>
      </c>
      <c r="K38" s="2" t="s">
        <v>10</v>
      </c>
      <c r="L38" s="1" t="s">
        <v>11</v>
      </c>
      <c r="M38" s="1" t="s">
        <v>12</v>
      </c>
      <c r="N38" s="2" t="s">
        <v>13</v>
      </c>
      <c r="O38" s="1" t="s">
        <v>14</v>
      </c>
      <c r="P38" s="1" t="s">
        <v>15</v>
      </c>
    </row>
    <row r="39" spans="1:16" x14ac:dyDescent="0.2">
      <c r="A39">
        <v>47</v>
      </c>
      <c r="B39" s="3">
        <f>B2/MIN($B2,$E2,$H2,$K2,$N2)</f>
        <v>1.3220251315762312</v>
      </c>
      <c r="C39" s="5">
        <f>C2</f>
        <v>130.79857826232899</v>
      </c>
      <c r="D39" s="5">
        <f>D2</f>
        <v>0.57905962264181199</v>
      </c>
      <c r="E39" s="3">
        <f>E2/MIN($B2,$E2,$H2,$K2,$N2)</f>
        <v>1.2214466165896753</v>
      </c>
      <c r="F39" s="5">
        <f>F2</f>
        <v>124.46870657701101</v>
      </c>
      <c r="G39" s="5">
        <f>G2</f>
        <v>0.59550928053681895</v>
      </c>
      <c r="H39" s="3">
        <f>H2/MIN($B2,$E2,$H2,$K2,$N2)</f>
        <v>1.23452779882506</v>
      </c>
      <c r="I39" s="5">
        <f>I2</f>
        <v>132.51670060827101</v>
      </c>
      <c r="J39" s="5">
        <f>J2</f>
        <v>0.64555168368087801</v>
      </c>
      <c r="K39" s="3">
        <f>K2/MIN($B2,$E2,$H2,$K2,$N2)</f>
        <v>1.1633891966204011</v>
      </c>
      <c r="L39" s="5">
        <f>L2</f>
        <v>120.534961919975</v>
      </c>
      <c r="M39" s="5">
        <f>M2</f>
        <v>0.60805797710661502</v>
      </c>
      <c r="N39" s="3">
        <f>N2/MIN($B2,$E2,$H2,$K2,$N2)</f>
        <v>1</v>
      </c>
      <c r="O39" s="5">
        <f>O2</f>
        <v>111.34332408958601</v>
      </c>
      <c r="P39" s="5">
        <f>P2</f>
        <v>0.45137842002413398</v>
      </c>
    </row>
    <row r="40" spans="1:16" x14ac:dyDescent="0.2">
      <c r="A40">
        <v>65</v>
      </c>
      <c r="B40" s="3">
        <f>B3/MIN($B3,$E3,$H3,$K3,$N3)</f>
        <v>1.6420371798315478</v>
      </c>
      <c r="C40" s="5">
        <f>C3</f>
        <v>185.08385419845499</v>
      </c>
      <c r="D40" s="5">
        <f>D3</f>
        <v>1.41941647827231</v>
      </c>
      <c r="E40" s="3">
        <f>E3/MIN($B3,$E3,$H3,$K3,$N3)</f>
        <v>1.0708433656147829</v>
      </c>
      <c r="F40" s="5">
        <f>F3</f>
        <v>179.19803551747</v>
      </c>
      <c r="G40" s="5">
        <f>G3</f>
        <v>0.99346582017927998</v>
      </c>
      <c r="H40" s="3">
        <f>H3/MIN($B3,$E3,$H3,$K3,$N3)</f>
        <v>1</v>
      </c>
      <c r="I40" s="5">
        <f>I3</f>
        <v>170.61160916575199</v>
      </c>
      <c r="J40" s="5">
        <f>J3</f>
        <v>0.92400952101093803</v>
      </c>
      <c r="K40" s="3">
        <f>K3/MIN($B3,$E3,$H3,$K3,$N3)</f>
        <v>1.0142284431089832</v>
      </c>
      <c r="L40" s="5">
        <f>L3</f>
        <v>170.977127290781</v>
      </c>
      <c r="M40" s="5">
        <f>M3</f>
        <v>1.0593139328771299</v>
      </c>
      <c r="N40" s="3">
        <f>N3/MIN($B3,$E3,$H3,$K3,$N3)</f>
        <v>1.1352686923049145</v>
      </c>
      <c r="O40" s="5">
        <f>O3</f>
        <v>195.51936300745001</v>
      </c>
      <c r="P40" s="5">
        <f>P3</f>
        <v>0.74446040823585202</v>
      </c>
    </row>
    <row r="41" spans="1:16" x14ac:dyDescent="0.2">
      <c r="A41">
        <v>98</v>
      </c>
      <c r="B41" s="3">
        <f>B4/MIN($B4,$E4,$H4,$K4,$N4)</f>
        <v>2.9849524944484189</v>
      </c>
      <c r="C41" s="5">
        <f>C4</f>
        <v>195.71894407272299</v>
      </c>
      <c r="D41" s="5">
        <f>D4</f>
        <v>0.90375889041003199</v>
      </c>
      <c r="E41" s="3">
        <f>E4/MIN($B4,$E4,$H4,$K4,$N4)</f>
        <v>1</v>
      </c>
      <c r="F41" s="5">
        <f>F4</f>
        <v>198.655282308875</v>
      </c>
      <c r="G41" s="5">
        <f>G4</f>
        <v>0.34840919764515299</v>
      </c>
      <c r="H41" s="3">
        <f>H4/MIN($B4,$E4,$H4,$K4,$N4)</f>
        <v>2.095534439006224</v>
      </c>
      <c r="I41" s="5">
        <f>I4</f>
        <v>194.38312588301599</v>
      </c>
      <c r="J41" s="5">
        <f>J4</f>
        <v>0.85738579426678396</v>
      </c>
      <c r="K41" s="3">
        <f>K4/MIN($B4,$E4,$H4,$K4,$N4)</f>
        <v>1.5889595345476597</v>
      </c>
      <c r="L41" s="5">
        <f>L4</f>
        <v>194.64476057762701</v>
      </c>
      <c r="M41" s="5">
        <f>M4</f>
        <v>0.63817842162595295</v>
      </c>
      <c r="N41" s="3">
        <f>N4/MIN($B4,$E4,$H4,$K4,$N4)</f>
        <v>1.4020064807756529</v>
      </c>
      <c r="O41" s="5">
        <f>O4</f>
        <v>195.47523613445401</v>
      </c>
      <c r="P41" s="5">
        <f>P4</f>
        <v>0.55923547399647</v>
      </c>
    </row>
    <row r="42" spans="1:16" x14ac:dyDescent="0.2">
      <c r="A42">
        <v>114</v>
      </c>
      <c r="B42" s="3">
        <f>B5/MIN($B5,$E5,$H5,$K5,$N5)</f>
        <v>1.3820199216321256</v>
      </c>
      <c r="C42" s="5">
        <f>C5</f>
        <v>63.567107915878204</v>
      </c>
      <c r="D42" s="5">
        <f>D5</f>
        <v>0.82629649280256301</v>
      </c>
      <c r="E42" s="3">
        <f>E5/MIN($B5,$E5,$H5,$K5,$N5)</f>
        <v>1.2729593771708361</v>
      </c>
      <c r="F42" s="5">
        <f>F5</f>
        <v>52.295170773032503</v>
      </c>
      <c r="G42" s="5">
        <f>G5</f>
        <v>0.6589834757659</v>
      </c>
      <c r="H42" s="3">
        <f>H5/MIN($B5,$E5,$H5,$K5,$N5)</f>
        <v>1.0775252995772195</v>
      </c>
      <c r="I42" s="5">
        <f>I5</f>
        <v>44.7642491317118</v>
      </c>
      <c r="J42" s="5">
        <f>J5</f>
        <v>0.57748618943201901</v>
      </c>
      <c r="K42" s="3">
        <f>K5/MIN($B5,$E5,$H5,$K5,$N5)</f>
        <v>1</v>
      </c>
      <c r="L42" s="5">
        <f>L5</f>
        <v>47.789644562081598</v>
      </c>
      <c r="M42" s="5">
        <f>M5</f>
        <v>0.57234773599346001</v>
      </c>
      <c r="N42" s="3">
        <f>N5/MIN($B5,$E5,$H5,$K5,$N5)</f>
        <v>1.0376010454584421</v>
      </c>
      <c r="O42" s="5">
        <f>O5</f>
        <v>49.329944058168003</v>
      </c>
      <c r="P42" s="5">
        <f>P5</f>
        <v>0.55650515375368503</v>
      </c>
    </row>
    <row r="43" spans="1:16" x14ac:dyDescent="0.2">
      <c r="A43">
        <v>123</v>
      </c>
      <c r="B43" s="3">
        <f>B6/MIN($B6,$E6,$H6,$K6,$N6)</f>
        <v>1.1223964937497168</v>
      </c>
      <c r="C43" s="5">
        <f>C6</f>
        <v>135.33495664596501</v>
      </c>
      <c r="D43" s="5">
        <f>D6</f>
        <v>1.16269807518499</v>
      </c>
      <c r="E43" s="3">
        <f>E6/MIN($B6,$E6,$H6,$K6,$N6)</f>
        <v>1</v>
      </c>
      <c r="F43" s="5">
        <f>F6</f>
        <v>121.95017267975</v>
      </c>
      <c r="G43" s="5">
        <f>G6</f>
        <v>0.99921980378140496</v>
      </c>
      <c r="H43" s="3">
        <f>H6/MIN($B6,$E6,$H6,$K6,$N6)</f>
        <v>1.0009957734575323</v>
      </c>
      <c r="I43" s="5">
        <f>I6</f>
        <v>125.16153822767301</v>
      </c>
      <c r="J43" s="5">
        <f>J6</f>
        <v>0.97477951851366196</v>
      </c>
      <c r="K43" s="3">
        <f>K6/MIN($B6,$E6,$H6,$K6,$N6)</f>
        <v>1.0339736371127308</v>
      </c>
      <c r="L43" s="5">
        <f>L6</f>
        <v>122.566567276863</v>
      </c>
      <c r="M43" s="5">
        <f>M6</f>
        <v>0.97030315086806196</v>
      </c>
      <c r="N43" s="3">
        <f>N6/MIN($B6,$E6,$H6,$K6,$N6)</f>
        <v>1.0794000485058413</v>
      </c>
      <c r="O43" s="5">
        <f>O6</f>
        <v>121.698885588663</v>
      </c>
      <c r="P43" s="5">
        <f>P6</f>
        <v>0.94006020923712796</v>
      </c>
    </row>
    <row r="44" spans="1:16" x14ac:dyDescent="0.2">
      <c r="A44">
        <v>168</v>
      </c>
      <c r="B44" s="3">
        <f>B7/MIN($B7,$E7,$H7,$K7,$N7)</f>
        <v>1</v>
      </c>
      <c r="C44" s="5">
        <f>C7</f>
        <v>140.31487703323299</v>
      </c>
      <c r="D44" s="5">
        <f>D7</f>
        <v>0.88170053064656695</v>
      </c>
      <c r="E44" s="3">
        <f>E7/MIN($B7,$E7,$H7,$K7,$N7)</f>
        <v>1.3576702489182033</v>
      </c>
      <c r="F44" s="5">
        <f>F7</f>
        <v>139.36390958595899</v>
      </c>
      <c r="G44" s="5">
        <f>G7</f>
        <v>1.3221926509023001</v>
      </c>
      <c r="H44" s="3">
        <f>H7/MIN($B7,$E7,$H7,$K7,$N7)</f>
        <v>1.1289727564084897</v>
      </c>
      <c r="I44" s="5">
        <f>I7</f>
        <v>126.872166745564</v>
      </c>
      <c r="J44" s="5">
        <f>J7</f>
        <v>0.981639509463338</v>
      </c>
      <c r="K44" s="3">
        <f>K7/MIN($B7,$E7,$H7,$K7,$N7)</f>
        <v>1.0679718258958597</v>
      </c>
      <c r="L44" s="5">
        <f>L7</f>
        <v>133.87217100874801</v>
      </c>
      <c r="M44" s="5">
        <f>M7</f>
        <v>1.0546677066636401</v>
      </c>
      <c r="N44" s="3">
        <f>N7/MIN($B7,$E7,$H7,$K7,$N7)</f>
        <v>1.1844418914128345</v>
      </c>
      <c r="O44" s="5">
        <f>O7</f>
        <v>135.679525691224</v>
      </c>
      <c r="P44" s="5">
        <f>P7</f>
        <v>0.94708645635225597</v>
      </c>
    </row>
    <row r="45" spans="1:16" x14ac:dyDescent="0.2">
      <c r="A45">
        <v>172</v>
      </c>
      <c r="B45" s="3">
        <f>B8/MIN($B8,$E8,$H8,$K8,$N8)</f>
        <v>1</v>
      </c>
      <c r="C45" s="5">
        <f>C8</f>
        <v>125.85959434509201</v>
      </c>
      <c r="D45" s="5">
        <f>D8</f>
        <v>0.66213934958534204</v>
      </c>
      <c r="E45" s="3">
        <f>E8/MIN($B8,$E8,$H8,$K8,$N8)</f>
        <v>1.0205291911877632</v>
      </c>
      <c r="F45" s="5">
        <f>F8</f>
        <v>122.744314063288</v>
      </c>
      <c r="G45" s="5">
        <f>G8</f>
        <v>0.78170999555890597</v>
      </c>
      <c r="H45" s="3">
        <f>H8/MIN($B8,$E8,$H8,$K8,$N8)</f>
        <v>1.0782711844807871</v>
      </c>
      <c r="I45" s="5">
        <f>I8</f>
        <v>116.12138243004701</v>
      </c>
      <c r="J45" s="5">
        <f>J8</f>
        <v>0.81594864700863201</v>
      </c>
      <c r="K45" s="3">
        <f>K8/MIN($B8,$E8,$H8,$K8,$N8)</f>
        <v>1.1619641035644204</v>
      </c>
      <c r="L45" s="5">
        <f>L8</f>
        <v>133.194017638725</v>
      </c>
      <c r="M45" s="5">
        <f>M8</f>
        <v>1.07611326085901</v>
      </c>
      <c r="N45" s="3">
        <f>N8/MIN($B8,$E8,$H8,$K8,$N8)</f>
        <v>1.0059853621446593</v>
      </c>
      <c r="O45" s="5">
        <f>O8</f>
        <v>114.90830319752899</v>
      </c>
      <c r="P45" s="5">
        <f>P8</f>
        <v>0.56129598108913703</v>
      </c>
    </row>
    <row r="46" spans="1:16" x14ac:dyDescent="0.2">
      <c r="A46">
        <v>185</v>
      </c>
      <c r="B46" s="3">
        <f>B9/MIN($B9,$E9,$H9,$K9,$N9)</f>
        <v>1</v>
      </c>
      <c r="C46" s="5">
        <f>C9</f>
        <v>105.50377368927001</v>
      </c>
      <c r="D46" s="5">
        <f>D9</f>
        <v>0.75952725403090904</v>
      </c>
      <c r="E46" s="3">
        <f>E9/MIN($B9,$E9,$H9,$K9,$N9)</f>
        <v>1.0702486531536104</v>
      </c>
      <c r="F46" s="5">
        <f>F9</f>
        <v>97.700367494684201</v>
      </c>
      <c r="G46" s="5">
        <f>G9</f>
        <v>0.85835183006424198</v>
      </c>
      <c r="H46" s="3">
        <f>H9/MIN($B9,$E9,$H9,$K9,$N9)</f>
        <v>1.1769043112999176</v>
      </c>
      <c r="I46" s="5">
        <f>I9</f>
        <v>101.39435204861699</v>
      </c>
      <c r="J46" s="5">
        <f>J9</f>
        <v>0.97231158766154602</v>
      </c>
      <c r="K46" s="3">
        <f>K9/MIN($B9,$E9,$H9,$K9,$N9)</f>
        <v>1.0678229559583028</v>
      </c>
      <c r="L46" s="5">
        <f>L9</f>
        <v>96.619117357730204</v>
      </c>
      <c r="M46" s="5">
        <f>M9</f>
        <v>0.77082001174755599</v>
      </c>
      <c r="N46" s="3">
        <f>N9/MIN($B9,$E9,$H9,$K9,$N9)</f>
        <v>1.0584754160172112</v>
      </c>
      <c r="O46" s="5">
        <f>O9</f>
        <v>101.984015547016</v>
      </c>
      <c r="P46" s="5">
        <f>P9</f>
        <v>0.75430119018682495</v>
      </c>
    </row>
    <row r="47" spans="1:16" x14ac:dyDescent="0.2">
      <c r="A47">
        <v>195</v>
      </c>
      <c r="B47" s="3">
        <f>B10/MIN($B10,$E10,$H10,$K10,$N10)</f>
        <v>1.2097334879720598</v>
      </c>
      <c r="C47" s="5">
        <f>C10</f>
        <v>106.52636289596499</v>
      </c>
      <c r="D47" s="5">
        <f>D10</f>
        <v>0.69391546603932897</v>
      </c>
      <c r="E47" s="3">
        <f>E10/MIN($B10,$E10,$H10,$K10,$N10)</f>
        <v>1</v>
      </c>
      <c r="F47" s="5">
        <f>F10</f>
        <v>90.783409211563495</v>
      </c>
      <c r="G47" s="5">
        <f>G10</f>
        <v>0.52772235836524095</v>
      </c>
      <c r="H47" s="3">
        <f>H10/MIN($B10,$E10,$H10,$K10,$N10)</f>
        <v>1.061188285373484</v>
      </c>
      <c r="I47" s="5">
        <f>I10</f>
        <v>96.299699087725898</v>
      </c>
      <c r="J47" s="5">
        <f>J10</f>
        <v>0.58535594032244098</v>
      </c>
      <c r="K47" s="3">
        <f>K10/MIN($B10,$E10,$H10,$K10,$N10)</f>
        <v>1.1086145098147273</v>
      </c>
      <c r="L47" s="5">
        <f>L10</f>
        <v>102.93429679536101</v>
      </c>
      <c r="M47" s="5">
        <f>M10</f>
        <v>0.65175317063871996</v>
      </c>
      <c r="N47" s="3">
        <f>N10/MIN($B10,$E10,$H10,$K10,$N10)</f>
        <v>1.0476454052208635</v>
      </c>
      <c r="O47" s="5">
        <f>O10</f>
        <v>97.4456942803413</v>
      </c>
      <c r="P47" s="5">
        <f>P10</f>
        <v>0.58741063234519897</v>
      </c>
    </row>
    <row r="48" spans="1:16" x14ac:dyDescent="0.2">
      <c r="A48">
        <v>197</v>
      </c>
      <c r="B48" s="3">
        <f>B11/MIN($B11,$E11,$H11,$K11,$N11)</f>
        <v>1.1276488642033133</v>
      </c>
      <c r="C48" s="5">
        <f>C11</f>
        <v>133.09594392776401</v>
      </c>
      <c r="D48" s="5">
        <f>D11</f>
        <v>0.78374289686961895</v>
      </c>
      <c r="E48" s="3">
        <f>E11/MIN($B11,$E11,$H11,$K11,$N11)</f>
        <v>1.0933786134243195</v>
      </c>
      <c r="F48" s="5">
        <f>F11</f>
        <v>139.818165296465</v>
      </c>
      <c r="G48" s="5">
        <f>G11</f>
        <v>0.83446832872863996</v>
      </c>
      <c r="H48" s="3">
        <f>H11/MIN($B11,$E11,$H11,$K11,$N11)</f>
        <v>1.0444197183502049</v>
      </c>
      <c r="I48" s="5">
        <f>I11</f>
        <v>142.11346622277901</v>
      </c>
      <c r="J48" s="5">
        <f>J11</f>
        <v>0.85865762041608895</v>
      </c>
      <c r="K48" s="3">
        <f>K11/MIN($B11,$E11,$H11,$K11,$N11)</f>
        <v>1</v>
      </c>
      <c r="L48" s="5">
        <f>L11</f>
        <v>145.813361196752</v>
      </c>
      <c r="M48" s="5">
        <f>M11</f>
        <v>0.70919493264723299</v>
      </c>
      <c r="N48" s="3">
        <f>N11/MIN($B11,$E11,$H11,$K11,$N11)</f>
        <v>1.1948567976012032</v>
      </c>
      <c r="O48" s="5">
        <f>O11</f>
        <v>137.97283122918901</v>
      </c>
      <c r="P48" s="5">
        <f>P11</f>
        <v>0.684057804806668</v>
      </c>
    </row>
    <row r="49" spans="1:16" x14ac:dyDescent="0.2">
      <c r="A49">
        <v>237</v>
      </c>
      <c r="B49" s="3">
        <f>B12/MIN($B12,$E12,$H12,$K12,$N12)</f>
        <v>1.5457023533442733</v>
      </c>
      <c r="C49" s="5">
        <f>C12</f>
        <v>142.75757074356</v>
      </c>
      <c r="D49" s="5">
        <f>D12</f>
        <v>0.83667266461706202</v>
      </c>
      <c r="E49" s="3">
        <f>E12/MIN($B12,$E12,$H12,$K12,$N12)</f>
        <v>1.236145748174214</v>
      </c>
      <c r="F49" s="5">
        <f>F12</f>
        <v>125.235767098729</v>
      </c>
      <c r="G49" s="5">
        <f>G12</f>
        <v>0.54339941350544196</v>
      </c>
      <c r="H49" s="3">
        <f>H12/MIN($B12,$E12,$H12,$K12,$N12)</f>
        <v>1.0378545542011066</v>
      </c>
      <c r="I49" s="5">
        <f>I12</f>
        <v>115.27366736914099</v>
      </c>
      <c r="J49" s="5">
        <f>J12</f>
        <v>0.58249596009681304</v>
      </c>
      <c r="K49" s="3">
        <f>K12/MIN($B12,$E12,$H12,$K12,$N12)</f>
        <v>1.0738618796501533</v>
      </c>
      <c r="L49" s="5">
        <f>L12</f>
        <v>117.56833408480701</v>
      </c>
      <c r="M49" s="5">
        <f>M12</f>
        <v>0.59579193608056202</v>
      </c>
      <c r="N49" s="3">
        <f>N12/MIN($B12,$E12,$H12,$K12,$N12)</f>
        <v>1</v>
      </c>
      <c r="O49" s="5">
        <f>O12</f>
        <v>113.02019335328001</v>
      </c>
      <c r="P49" s="5">
        <f>P12</f>
        <v>0.49074292536817898</v>
      </c>
    </row>
    <row r="50" spans="1:16" x14ac:dyDescent="0.2">
      <c r="A50">
        <v>272</v>
      </c>
      <c r="B50" s="3">
        <f>B13/MIN($B13,$E13,$H13,$K13,$N13)</f>
        <v>1.7269479727188435</v>
      </c>
      <c r="C50" s="5">
        <f>C13</f>
        <v>171.20482921600299</v>
      </c>
      <c r="D50" s="5">
        <f>D13</f>
        <v>1.3054845660202401</v>
      </c>
      <c r="E50" s="3">
        <f>E13/MIN($B13,$E13,$H13,$K13,$N13)</f>
        <v>1.132327756546879</v>
      </c>
      <c r="F50" s="5">
        <f>F13</f>
        <v>145.14119736861201</v>
      </c>
      <c r="G50" s="5">
        <f>G13</f>
        <v>0.84864270259796903</v>
      </c>
      <c r="H50" s="3">
        <f>H13/MIN($B13,$E13,$H13,$K13,$N13)</f>
        <v>1.1038117590189955</v>
      </c>
      <c r="I50" s="5">
        <f>I13</f>
        <v>140.884398221395</v>
      </c>
      <c r="J50" s="5">
        <f>J13</f>
        <v>0.72815278002837602</v>
      </c>
      <c r="K50" s="3">
        <f>K13/MIN($B13,$E13,$H13,$K13,$N13)</f>
        <v>1</v>
      </c>
      <c r="L50" s="5">
        <f>L13</f>
        <v>143.15727738409001</v>
      </c>
      <c r="M50" s="5">
        <f>M13</f>
        <v>0.72341040730391004</v>
      </c>
      <c r="N50" s="3">
        <f>N13/MIN($B13,$E13,$H13,$K13,$N13)</f>
        <v>1.3737289113627984</v>
      </c>
      <c r="O50" s="5">
        <f>O13</f>
        <v>148.37002995178401</v>
      </c>
      <c r="P50" s="5">
        <f>P13</f>
        <v>1.04954788476887</v>
      </c>
    </row>
    <row r="51" spans="1:16" x14ac:dyDescent="0.2">
      <c r="A51">
        <v>279</v>
      </c>
      <c r="B51" s="3">
        <f>B14/MIN($B14,$E14,$H14,$K14,$N14)</f>
        <v>2.1560294498822636</v>
      </c>
      <c r="C51" s="5">
        <f>C14</f>
        <v>139.778280258178</v>
      </c>
      <c r="D51" s="5">
        <f>D14</f>
        <v>1.0517932622939099</v>
      </c>
      <c r="E51" s="3">
        <f>E14/MIN($B14,$E14,$H14,$K14,$N14)</f>
        <v>1</v>
      </c>
      <c r="F51" s="5">
        <f>F14</f>
        <v>91.364041413681093</v>
      </c>
      <c r="G51" s="5">
        <f>G14</f>
        <v>0.57707656543660402</v>
      </c>
      <c r="H51" s="3">
        <f>H14/MIN($B14,$E14,$H14,$K14,$N14)</f>
        <v>1.0269889639138516</v>
      </c>
      <c r="I51" s="5">
        <f>I14</f>
        <v>100.860082655131</v>
      </c>
      <c r="J51" s="5">
        <f>J14</f>
        <v>0.57803343744199798</v>
      </c>
      <c r="K51" s="3">
        <f>K14/MIN($B14,$E14,$H14,$K14,$N14)</f>
        <v>1.7695509903410862</v>
      </c>
      <c r="L51" s="5">
        <f>L14</f>
        <v>116.53606557058799</v>
      </c>
      <c r="M51" s="5">
        <f>M14</f>
        <v>0.93874373334753602</v>
      </c>
      <c r="N51" s="3">
        <f>N14/MIN($B14,$E14,$H14,$K14,$N14)</f>
        <v>1.4982100946126891</v>
      </c>
      <c r="O51" s="5">
        <f>O14</f>
        <v>106.93133870700299</v>
      </c>
      <c r="P51" s="5">
        <f>P14</f>
        <v>0.77514384227849298</v>
      </c>
    </row>
    <row r="52" spans="1:16" x14ac:dyDescent="0.2">
      <c r="A52">
        <v>709</v>
      </c>
      <c r="B52" s="3">
        <f>B15/MIN($B15,$E15,$H15,$K15,$N15)</f>
        <v>3.1346467153932243</v>
      </c>
      <c r="C52" s="5">
        <f>C15</f>
        <v>159.32785272598201</v>
      </c>
      <c r="D52" s="5">
        <f>D15</f>
        <v>4.3470140499304602E-2</v>
      </c>
      <c r="E52" s="3">
        <f>E15/MIN($B15,$E15,$H15,$K15,$N15)</f>
        <v>1.1409156158553344</v>
      </c>
      <c r="F52" s="5">
        <f>F15</f>
        <v>183.67090019803399</v>
      </c>
      <c r="G52" s="5">
        <f>G15</f>
        <v>1.2730766131148199E-2</v>
      </c>
      <c r="H52" s="3">
        <f>H15/MIN($B15,$E15,$H15,$K15,$N15)</f>
        <v>4.2070042102305161</v>
      </c>
      <c r="I52" s="5">
        <f>I15</f>
        <v>182.36176570993899</v>
      </c>
      <c r="J52" s="5">
        <f>J15</f>
        <v>7.0221373224160596E-2</v>
      </c>
      <c r="K52" s="3">
        <f>K15/MIN($B15,$E15,$H15,$K15,$N15)</f>
        <v>1</v>
      </c>
      <c r="L52" s="5">
        <f>L15</f>
        <v>131.7331866728</v>
      </c>
      <c r="M52" s="5">
        <f>M15</f>
        <v>1.24152359579502E-2</v>
      </c>
      <c r="N52" s="3">
        <f>N15/MIN($B15,$E15,$H15,$K15,$N15)</f>
        <v>1.2242189819020697</v>
      </c>
      <c r="O52" s="5">
        <f>O15</f>
        <v>178.501093736629</v>
      </c>
      <c r="P52" s="5">
        <f>P15</f>
        <v>1.44291575938551E-2</v>
      </c>
    </row>
    <row r="53" spans="1:16" x14ac:dyDescent="0.2">
      <c r="A53">
        <v>712</v>
      </c>
      <c r="B53" s="3">
        <f>B16/MIN($B16,$E16,$H16,$K16,$N16)</f>
        <v>1.3280335206922878</v>
      </c>
      <c r="C53" s="5">
        <f>C16</f>
        <v>138.33212852477999</v>
      </c>
      <c r="D53" s="5">
        <f>D16</f>
        <v>0.60890323270234403</v>
      </c>
      <c r="E53" s="3">
        <f>E16/MIN($B16,$E16,$H16,$K16,$N16)</f>
        <v>1.1398395027127921</v>
      </c>
      <c r="F53" s="5">
        <f>F16</f>
        <v>129.52510133865599</v>
      </c>
      <c r="G53" s="5">
        <f>G16</f>
        <v>0.66111218449446796</v>
      </c>
      <c r="H53" s="3">
        <f>H16/MIN($B16,$E16,$H16,$K16,$N16)</f>
        <v>1.0539315481130465</v>
      </c>
      <c r="I53" s="5">
        <f>I16</f>
        <v>132.03273397497099</v>
      </c>
      <c r="J53" s="5">
        <f>J16</f>
        <v>0.60335234818321704</v>
      </c>
      <c r="K53" s="3">
        <f>K16/MIN($B16,$E16,$H16,$K16,$N16)</f>
        <v>1.4454263814639134</v>
      </c>
      <c r="L53" s="5">
        <f>L16</f>
        <v>136.65160341863299</v>
      </c>
      <c r="M53" s="5">
        <f>M16</f>
        <v>1.0054447115323499</v>
      </c>
      <c r="N53" s="3">
        <f>N16/MIN($B16,$E16,$H16,$K16,$N16)</f>
        <v>1</v>
      </c>
      <c r="O53" s="5">
        <f>O16</f>
        <v>130.04308849668899</v>
      </c>
      <c r="P53" s="5">
        <f>P16</f>
        <v>0.53604236069314604</v>
      </c>
    </row>
    <row r="54" spans="1:16" x14ac:dyDescent="0.2">
      <c r="A54">
        <v>714</v>
      </c>
      <c r="B54" s="3">
        <f>B17/MIN($B17,$E17,$H17,$K17,$N17)</f>
        <v>4.4643993401192041</v>
      </c>
      <c r="C54" s="5">
        <f>C17</f>
        <v>163.74636888504</v>
      </c>
      <c r="D54" s="5">
        <f>D17</f>
        <v>0.85350041628912099</v>
      </c>
      <c r="E54" s="3">
        <f>E17/MIN($B17,$E17,$H17,$K17,$N17)</f>
        <v>1</v>
      </c>
      <c r="F54" s="5">
        <f>F17</f>
        <v>115.85790890621099</v>
      </c>
      <c r="G54" s="5">
        <f>G17</f>
        <v>0.27313364596908402</v>
      </c>
      <c r="H54" s="3">
        <f>H17/MIN($B17,$E17,$H17,$K17,$N17)</f>
        <v>1.8769673358748309</v>
      </c>
      <c r="I54" s="5">
        <f>I17</f>
        <v>148.776701517475</v>
      </c>
      <c r="J54" s="5">
        <f>J17</f>
        <v>0.48106764520769302</v>
      </c>
      <c r="K54" s="3">
        <f>K17/MIN($B17,$E17,$H17,$K17,$N17)</f>
        <v>1.2421244333039529</v>
      </c>
      <c r="L54" s="5">
        <f>L17</f>
        <v>151.25548563505399</v>
      </c>
      <c r="M54" s="5">
        <f>M17</f>
        <v>0.28982627863546001</v>
      </c>
      <c r="N54" s="3">
        <f>N17/MIN($B17,$E17,$H17,$K17,$N17)</f>
        <v>1.5851511048039166</v>
      </c>
      <c r="O54" s="5">
        <f>O17</f>
        <v>158.408210394657</v>
      </c>
      <c r="P54" s="5">
        <f>P17</f>
        <v>0.33652087714868001</v>
      </c>
    </row>
    <row r="55" spans="1:16" x14ac:dyDescent="0.2">
      <c r="A55">
        <v>722</v>
      </c>
      <c r="B55" s="3">
        <f>B18/MIN($B18,$E18,$H18,$K18,$N18)</f>
        <v>1.9012554787178635</v>
      </c>
      <c r="C55" s="5">
        <f>C18</f>
        <v>131.206107139587</v>
      </c>
      <c r="D55" s="5">
        <f>D18</f>
        <v>1.21545359903609</v>
      </c>
      <c r="E55" s="3">
        <f>E18/MIN($B18,$E18,$H18,$K18,$N18)</f>
        <v>1.2479224303153718</v>
      </c>
      <c r="F55" s="5">
        <f>F18</f>
        <v>119.58094322038301</v>
      </c>
      <c r="G55" s="5">
        <f>G18</f>
        <v>0.83321798769566302</v>
      </c>
      <c r="H55" s="3">
        <f>H18/MIN($B18,$E18,$H18,$K18,$N18)</f>
        <v>1</v>
      </c>
      <c r="I55" s="5">
        <f>I18</f>
        <v>100.609419674183</v>
      </c>
      <c r="J55" s="5">
        <f>J18</f>
        <v>0.60242739236551801</v>
      </c>
      <c r="K55" s="3">
        <f>K18/MIN($B18,$E18,$H18,$K18,$N18)</f>
        <v>1.2401853648482213</v>
      </c>
      <c r="L55" s="5">
        <f>L18</f>
        <v>108.171329308951</v>
      </c>
      <c r="M55" s="5">
        <f>M18</f>
        <v>0.755411882306117</v>
      </c>
      <c r="N55" s="3">
        <f>N18/MIN($B18,$E18,$H18,$K18,$N18)</f>
        <v>1.2706254328439668</v>
      </c>
      <c r="O55" s="5">
        <f>O18</f>
        <v>125.663251271088</v>
      </c>
      <c r="P55" s="5">
        <f>P18</f>
        <v>0.80688063651775899</v>
      </c>
    </row>
    <row r="56" spans="1:16" x14ac:dyDescent="0.2">
      <c r="A56">
        <v>724</v>
      </c>
      <c r="B56" s="3">
        <f>B19/MIN($B19,$E19,$H19,$K19,$N19)</f>
        <v>1.4456574948405498</v>
      </c>
      <c r="C56" s="5">
        <f>C19</f>
        <v>81.1862468719482</v>
      </c>
      <c r="D56" s="5">
        <f>D19</f>
        <v>1.0652143934333</v>
      </c>
      <c r="E56" s="3">
        <f>E19/MIN($B19,$E19,$H19,$K19,$N19)</f>
        <v>1.1133875703138323</v>
      </c>
      <c r="F56" s="5">
        <f>F19</f>
        <v>62.0953075805023</v>
      </c>
      <c r="G56" s="5">
        <f>G19</f>
        <v>0.76970395255276502</v>
      </c>
      <c r="H56" s="3">
        <f>H19/MIN($B19,$E19,$H19,$K19,$N19)</f>
        <v>1.0168219132443432</v>
      </c>
      <c r="I56" s="5">
        <f>I19</f>
        <v>58.555371113764402</v>
      </c>
      <c r="J56" s="5">
        <f>J19</f>
        <v>0.69387334087233998</v>
      </c>
      <c r="K56" s="3">
        <f>K19/MIN($B19,$E19,$H19,$K19,$N19)</f>
        <v>1</v>
      </c>
      <c r="L56" s="5">
        <f>L19</f>
        <v>64.231445211052801</v>
      </c>
      <c r="M56" s="5">
        <f>M19</f>
        <v>0.74306273744710705</v>
      </c>
      <c r="N56" s="3">
        <f>N19/MIN($B19,$E19,$H19,$K19,$N19)</f>
        <v>1.0803602589503201</v>
      </c>
      <c r="O56" s="5">
        <f>O19</f>
        <v>57.469809726394303</v>
      </c>
      <c r="P56" s="5">
        <f>P19</f>
        <v>0.65451952506177602</v>
      </c>
    </row>
    <row r="57" spans="1:16" x14ac:dyDescent="0.2">
      <c r="A57">
        <v>749</v>
      </c>
      <c r="B57" s="3">
        <f>B20/MIN($B20,$E20,$H20,$K20,$N20)</f>
        <v>3.5256763144989942</v>
      </c>
      <c r="C57" s="5">
        <f>C20</f>
        <v>141.82091951370199</v>
      </c>
      <c r="D57" s="5">
        <f>D20</f>
        <v>2.6088723714669699</v>
      </c>
      <c r="E57" s="3">
        <f>E20/MIN($B20,$E20,$H20,$K20,$N20)</f>
        <v>1</v>
      </c>
      <c r="F57" s="5">
        <f>F20</f>
        <v>104.79200705662301</v>
      </c>
      <c r="G57" s="5">
        <f>G20</f>
        <v>0.67526558216079302</v>
      </c>
      <c r="H57" s="3">
        <f>H20/MIN($B20,$E20,$H20,$K20,$N20)</f>
        <v>1.1524987549878882</v>
      </c>
      <c r="I57" s="5">
        <f>I20</f>
        <v>128.37522143886699</v>
      </c>
      <c r="J57" s="5">
        <f>J20</f>
        <v>0.87318670789305197</v>
      </c>
      <c r="K57" s="3">
        <f>K20/MIN($B20,$E20,$H20,$K20,$N20)</f>
        <v>1.5948618148841678</v>
      </c>
      <c r="L57" s="5">
        <f>L20</f>
        <v>126.802888559994</v>
      </c>
      <c r="M57" s="5">
        <f>M20</f>
        <v>1.2311991874057999</v>
      </c>
      <c r="N57" s="3">
        <f>N20/MIN($B20,$E20,$H20,$K20,$N20)</f>
        <v>1.0573141754783046</v>
      </c>
      <c r="O57" s="5">
        <f>O20</f>
        <v>121.717723230039</v>
      </c>
      <c r="P57" s="5">
        <f>P20</f>
        <v>0.84381106725850397</v>
      </c>
    </row>
    <row r="58" spans="1:16" x14ac:dyDescent="0.2">
      <c r="A58">
        <v>777</v>
      </c>
      <c r="B58" s="3">
        <f>B21/MIN($B21,$E21,$H21,$K21,$N21)</f>
        <v>1.2862926586603272</v>
      </c>
      <c r="C58" s="5">
        <f>C21</f>
        <v>165.13296365737901</v>
      </c>
      <c r="D58" s="5">
        <f>D21</f>
        <v>0.85963484346143904</v>
      </c>
      <c r="E58" s="3">
        <f>E21/MIN($B21,$E21,$H21,$K21,$N21)</f>
        <v>1.0285623207950223</v>
      </c>
      <c r="F58" s="5">
        <f>F21</f>
        <v>148.45549180987899</v>
      </c>
      <c r="G58" s="5">
        <f>G21</f>
        <v>0.83128728193778301</v>
      </c>
      <c r="H58" s="3">
        <f>H21/MIN($B21,$E21,$H21,$K21,$N21)</f>
        <v>1.4152479199186945</v>
      </c>
      <c r="I58" s="5">
        <f>I21</f>
        <v>157.136595194835</v>
      </c>
      <c r="J58" s="5">
        <f>J21</f>
        <v>1.17075173076434</v>
      </c>
      <c r="K58" s="3">
        <f>K21/MIN($B21,$E21,$H21,$K21,$N21)</f>
        <v>1</v>
      </c>
      <c r="L58" s="5">
        <f>L21</f>
        <v>151.70159501078601</v>
      </c>
      <c r="M58" s="5">
        <f>M21</f>
        <v>0.70105375108721202</v>
      </c>
      <c r="N58" s="3">
        <f>N21/MIN($B21,$E21,$H21,$K21,$N21)</f>
        <v>1.0037835769936696</v>
      </c>
      <c r="O58" s="5">
        <f>O21</f>
        <v>152.27801701019001</v>
      </c>
      <c r="P58" s="5">
        <f>P21</f>
        <v>0.70580082912610898</v>
      </c>
    </row>
    <row r="59" spans="1:16" x14ac:dyDescent="0.2">
      <c r="A59">
        <v>782</v>
      </c>
      <c r="B59" s="3">
        <f>B22/MIN($B22,$E22,$H22,$K22,$N22)</f>
        <v>1.2171303117233432</v>
      </c>
      <c r="C59" s="5">
        <f>C22</f>
        <v>143.212664127349</v>
      </c>
      <c r="D59" s="5">
        <f>D22</f>
        <v>0.93089034323392805</v>
      </c>
      <c r="E59" s="3">
        <f>E22/MIN($B22,$E22,$H22,$K22,$N22)</f>
        <v>1.0337671548882135</v>
      </c>
      <c r="F59" s="5">
        <f>F22</f>
        <v>117.390931991899</v>
      </c>
      <c r="G59" s="5">
        <f>G22</f>
        <v>0.705667132586836</v>
      </c>
      <c r="H59" s="3">
        <f>H22/MIN($B22,$E22,$H22,$K22,$N22)</f>
        <v>1.0805638493572005</v>
      </c>
      <c r="I59" s="5">
        <f>I22</f>
        <v>117.576737101304</v>
      </c>
      <c r="J59" s="5">
        <f>J22</f>
        <v>0.77719755935296697</v>
      </c>
      <c r="K59" s="3">
        <f>K22/MIN($B22,$E22,$H22,$K22,$N22)</f>
        <v>1</v>
      </c>
      <c r="L59" s="5">
        <f>L22</f>
        <v>110.53546063872101</v>
      </c>
      <c r="M59" s="5">
        <f>M22</f>
        <v>0.68803740281060599</v>
      </c>
      <c r="N59" s="3">
        <f>N22/MIN($B22,$E22,$H22,$K22,$N22)</f>
        <v>1.0157388648131083</v>
      </c>
      <c r="O59" s="5">
        <f>O22</f>
        <v>113.662069639713</v>
      </c>
      <c r="P59" s="5">
        <f>P22</f>
        <v>0.71064626017009602</v>
      </c>
    </row>
    <row r="60" spans="1:16" x14ac:dyDescent="0.2">
      <c r="A60">
        <v>792</v>
      </c>
      <c r="B60" s="3">
        <f>B23/MIN($B23,$E23,$H23,$K23,$N23)</f>
        <v>1.1224839913023268</v>
      </c>
      <c r="C60" s="5">
        <f>C23</f>
        <v>104.94920015335001</v>
      </c>
      <c r="D60" s="5">
        <f>D23</f>
        <v>0.85095502107023002</v>
      </c>
      <c r="E60" s="3">
        <f>E23/MIN($B23,$E23,$H23,$K23,$N23)</f>
        <v>1</v>
      </c>
      <c r="F60" s="5">
        <f>F23</f>
        <v>95.898137138436098</v>
      </c>
      <c r="G60" s="5">
        <f>G23</f>
        <v>0.84458714262376</v>
      </c>
      <c r="H60" s="3">
        <f>H23/MIN($B23,$E23,$H23,$K23,$N23)</f>
        <v>1.0116752868207595</v>
      </c>
      <c r="I60" s="5">
        <f>I23</f>
        <v>98.395539983649996</v>
      </c>
      <c r="J60" s="5">
        <f>J23</f>
        <v>0.82423877712650795</v>
      </c>
      <c r="K60" s="3">
        <f>K23/MIN($B23,$E23,$H23,$K23,$N23)</f>
        <v>1.0552987447983841</v>
      </c>
      <c r="L60" s="5">
        <f>L23</f>
        <v>92.537935264729001</v>
      </c>
      <c r="M60" s="5">
        <f>M23</f>
        <v>0.90247246621462496</v>
      </c>
      <c r="N60" s="3">
        <f>N23/MIN($B23,$E23,$H23,$K23,$N23)</f>
        <v>1.0084757145356067</v>
      </c>
      <c r="O60" s="5">
        <f>O23</f>
        <v>92.674153052680495</v>
      </c>
      <c r="P60" s="5">
        <f>P23</f>
        <v>0.81888356983163502</v>
      </c>
    </row>
    <row r="61" spans="1:16" x14ac:dyDescent="0.2">
      <c r="A61">
        <v>804</v>
      </c>
      <c r="B61" s="3">
        <f>B24/MIN($B24,$E24,$H24,$K24,$N24)</f>
        <v>1</v>
      </c>
      <c r="C61" s="5">
        <f>C24</f>
        <v>148.71022701263399</v>
      </c>
      <c r="D61" s="5">
        <f>D24</f>
        <v>0.54857164586236395</v>
      </c>
      <c r="E61" s="3">
        <f>E24/MIN($B24,$E24,$H24,$K24,$N24)</f>
        <v>1.3798951218536339</v>
      </c>
      <c r="F61" s="5">
        <f>F24</f>
        <v>121.618919795236</v>
      </c>
      <c r="G61" s="5">
        <f>G24</f>
        <v>0.80897774369873499</v>
      </c>
      <c r="H61" s="3">
        <f>H24/MIN($B24,$E24,$H24,$K24,$N24)</f>
        <v>1.2927004181081878</v>
      </c>
      <c r="I61" s="5">
        <f>I24</f>
        <v>136.25701937595099</v>
      </c>
      <c r="J61" s="5">
        <f>J24</f>
        <v>0.77712647607441998</v>
      </c>
      <c r="K61" s="3">
        <f>K24/MIN($B24,$E24,$H24,$K24,$N24)</f>
        <v>1.5100939688800632</v>
      </c>
      <c r="L61" s="5">
        <f>L24</f>
        <v>141.81686653033501</v>
      </c>
      <c r="M61" s="5">
        <f>M24</f>
        <v>1.0165094236971901</v>
      </c>
      <c r="N61" s="3">
        <f>N24/MIN($B24,$E24,$H24,$K24,$N24)</f>
        <v>1.1488770047641559</v>
      </c>
      <c r="O61" s="5">
        <f>O24</f>
        <v>129.47943823864</v>
      </c>
      <c r="P61" s="5">
        <f>P24</f>
        <v>0.62307147579698696</v>
      </c>
    </row>
    <row r="62" spans="1:16" x14ac:dyDescent="0.2">
      <c r="A62">
        <v>812</v>
      </c>
      <c r="B62" s="3">
        <f>B25/MIN($B25,$E25,$H25,$K25,$N25)</f>
        <v>1.1449804826704379</v>
      </c>
      <c r="C62" s="5">
        <f>C25</f>
        <v>91.071730852127004</v>
      </c>
      <c r="D62" s="5">
        <f>D25</f>
        <v>2.1670736087202598</v>
      </c>
      <c r="E62" s="3">
        <f>E25/MIN($B25,$E25,$H25,$K25,$N25)</f>
        <v>1.0097313789910629</v>
      </c>
      <c r="F62" s="5">
        <f>F25</f>
        <v>87.441142348662893</v>
      </c>
      <c r="G62" s="5">
        <f>G25</f>
        <v>1.9372161433797701</v>
      </c>
      <c r="H62" s="3">
        <f>H25/MIN($B25,$E25,$H25,$K25,$N25)</f>
        <v>1</v>
      </c>
      <c r="I62" s="5">
        <f>I25</f>
        <v>93.123315455441798</v>
      </c>
      <c r="J62" s="5">
        <f>J25</f>
        <v>1.98083906885709</v>
      </c>
      <c r="K62" s="3">
        <f>K25/MIN($B25,$E25,$H25,$K25,$N25)</f>
        <v>1.0056077088236672</v>
      </c>
      <c r="L62" s="5">
        <f>L25</f>
        <v>95.129203151456494</v>
      </c>
      <c r="M62" s="5">
        <f>M25</f>
        <v>2.2989367997583101</v>
      </c>
      <c r="N62" s="3">
        <f>N25/MIN($B25,$E25,$H25,$K25,$N25)</f>
        <v>1.0037601902664499</v>
      </c>
      <c r="O62" s="5">
        <f>O25</f>
        <v>83.388251995492098</v>
      </c>
      <c r="P62" s="5">
        <f>P25</f>
        <v>1.7138595774310199</v>
      </c>
    </row>
    <row r="63" spans="1:16" x14ac:dyDescent="0.2">
      <c r="A63">
        <v>816</v>
      </c>
      <c r="B63" s="3">
        <f>B26/MIN($B26,$E26,$H26,$K26,$N26)</f>
        <v>2.5895697300642451</v>
      </c>
      <c r="C63" s="5">
        <f>C26</f>
        <v>179.66086864471399</v>
      </c>
      <c r="D63" s="5">
        <f>D26</f>
        <v>0.49274466246055199</v>
      </c>
      <c r="E63" s="3">
        <f>E26/MIN($B26,$E26,$H26,$K26,$N26)</f>
        <v>1.9234815697334999</v>
      </c>
      <c r="F63" s="5">
        <f>F26</f>
        <v>163.98991841072501</v>
      </c>
      <c r="G63" s="5">
        <f>G26</f>
        <v>0.36798252511766899</v>
      </c>
      <c r="H63" s="3">
        <f>H26/MIN($B26,$E26,$H26,$K26,$N26)</f>
        <v>2.3430211249377417</v>
      </c>
      <c r="I63" s="5">
        <f>I26</f>
        <v>181.77033878397901</v>
      </c>
      <c r="J63" s="5">
        <f>J26</f>
        <v>0.52158040274665496</v>
      </c>
      <c r="K63" s="3">
        <f>K26/MIN($B26,$E26,$H26,$K26,$N26)</f>
        <v>1</v>
      </c>
      <c r="L63" s="5">
        <f>L26</f>
        <v>159.761971745344</v>
      </c>
      <c r="M63" s="5">
        <f>M26</f>
        <v>0.22002926020673999</v>
      </c>
      <c r="N63" s="3">
        <f>N26/MIN($B26,$E26,$H26,$K26,$N26)</f>
        <v>1.0018912185097912</v>
      </c>
      <c r="O63" s="5">
        <f>O26</f>
        <v>158.52983086158699</v>
      </c>
      <c r="P63" s="5">
        <f>P26</f>
        <v>0.20842821589756999</v>
      </c>
    </row>
    <row r="64" spans="1:16" x14ac:dyDescent="0.2">
      <c r="A64">
        <v>822</v>
      </c>
      <c r="B64" s="3">
        <f>B27/MIN($B27,$E27,$H27,$K27,$N27)</f>
        <v>1</v>
      </c>
      <c r="C64" s="5">
        <f>C27</f>
        <v>138.56048583984301</v>
      </c>
      <c r="D64" s="5">
        <f>D27</f>
        <v>0.56524758523319196</v>
      </c>
      <c r="E64" s="3">
        <f>E27/MIN($B27,$E27,$H27,$K27,$N27)</f>
        <v>1.4065069648132498</v>
      </c>
      <c r="F64" s="5">
        <f>F27</f>
        <v>117.853039235164</v>
      </c>
      <c r="G64" s="5">
        <f>G27</f>
        <v>0.73394217883056201</v>
      </c>
      <c r="H64" s="3">
        <f>H27/MIN($B27,$E27,$H27,$K27,$N27)</f>
        <v>1.2304920680644946</v>
      </c>
      <c r="I64" s="5">
        <f>I27</f>
        <v>110.398318902041</v>
      </c>
      <c r="J64" s="5">
        <f>J27</f>
        <v>0.64286116451557496</v>
      </c>
      <c r="K64" s="3">
        <f>K27/MIN($B27,$E27,$H27,$K27,$N27)</f>
        <v>1.0059942603087249</v>
      </c>
      <c r="L64" s="5">
        <f>L27</f>
        <v>116.81839768172701</v>
      </c>
      <c r="M64" s="5">
        <f>M27</f>
        <v>0.64694326029853999</v>
      </c>
      <c r="N64" s="3">
        <f>N27/MIN($B27,$E27,$H27,$K27,$N27)</f>
        <v>1.1299383672726995</v>
      </c>
      <c r="O64" s="5">
        <f>O27</f>
        <v>116.345430079209</v>
      </c>
      <c r="P64" s="5">
        <f>P27</f>
        <v>0.58823195170009601</v>
      </c>
    </row>
    <row r="65" spans="1:16" x14ac:dyDescent="0.2">
      <c r="A65">
        <v>827</v>
      </c>
      <c r="B65" s="3">
        <f>B28/MIN($B28,$E28,$H28,$K28,$N28)</f>
        <v>1</v>
      </c>
      <c r="C65" s="5">
        <f>C28</f>
        <v>105.149340629577</v>
      </c>
      <c r="D65" s="5">
        <f>D28</f>
        <v>1.0493209278390701</v>
      </c>
      <c r="E65" s="3">
        <f>E28/MIN($B28,$E28,$H28,$K28,$N28)</f>
        <v>1.2196004573252344</v>
      </c>
      <c r="F65" s="5">
        <f>F28</f>
        <v>103.70931982881601</v>
      </c>
      <c r="G65" s="5">
        <f>G28</f>
        <v>1.34332111269333</v>
      </c>
      <c r="H65" s="3">
        <f>H28/MIN($B28,$E28,$H28,$K28,$N28)</f>
        <v>1.0767497765906897</v>
      </c>
      <c r="I65" s="5">
        <f>I28</f>
        <v>99.011938682529305</v>
      </c>
      <c r="J65" s="5">
        <f>J28</f>
        <v>1.0766556578478199</v>
      </c>
      <c r="K65" s="3">
        <f>K28/MIN($B28,$E28,$H28,$K28,$N28)</f>
        <v>1.19170283487426</v>
      </c>
      <c r="L65" s="5">
        <f>L28</f>
        <v>110.968215411777</v>
      </c>
      <c r="M65" s="5">
        <f>M28</f>
        <v>1.25155956114954</v>
      </c>
      <c r="N65" s="3">
        <f>N28/MIN($B28,$E28,$H28,$K28,$N28)</f>
        <v>1.0903068605034998</v>
      </c>
      <c r="O65" s="5">
        <f>O28</f>
        <v>99.108727673419807</v>
      </c>
      <c r="P65" s="5">
        <f>P28</f>
        <v>1.0489113315524501</v>
      </c>
    </row>
    <row r="66" spans="1:16" x14ac:dyDescent="0.2">
      <c r="A66">
        <v>838</v>
      </c>
      <c r="B66" s="3">
        <f>B29/MIN($B29,$E29,$H29,$K29,$N29)</f>
        <v>1.762433081111904</v>
      </c>
      <c r="C66" s="5">
        <f>C29</f>
        <v>118.828177452087</v>
      </c>
      <c r="D66" s="5">
        <f>D29</f>
        <v>1.2591825865764601</v>
      </c>
      <c r="E66" s="3">
        <f>E29/MIN($B29,$E29,$H29,$K29,$N29)</f>
        <v>1.1752064729338749</v>
      </c>
      <c r="F66" s="5">
        <f>F29</f>
        <v>96.573023574976304</v>
      </c>
      <c r="G66" s="5">
        <f>G29</f>
        <v>1.0686986186384599</v>
      </c>
      <c r="H66" s="3">
        <f>H29/MIN($B29,$E29,$H29,$K29,$N29)</f>
        <v>1.0463716132438436</v>
      </c>
      <c r="I66" s="5">
        <f>I29</f>
        <v>92.190088254615802</v>
      </c>
      <c r="J66" s="5">
        <f>J29</f>
        <v>0.93408803624366898</v>
      </c>
      <c r="K66" s="3">
        <f>K29/MIN($B29,$E29,$H29,$K29,$N29)</f>
        <v>1.3744878225771839</v>
      </c>
      <c r="L66" s="5">
        <f>L29</f>
        <v>91.895008462136701</v>
      </c>
      <c r="M66" s="5">
        <f>M29</f>
        <v>1.17104669866203</v>
      </c>
      <c r="N66" s="3">
        <f>N29/MIN($B29,$E29,$H29,$K29,$N29)</f>
        <v>1</v>
      </c>
      <c r="O66" s="5">
        <f>O29</f>
        <v>93.052403333029801</v>
      </c>
      <c r="P66" s="5">
        <f>P29</f>
        <v>0.82382094095390002</v>
      </c>
    </row>
    <row r="67" spans="1:16" x14ac:dyDescent="0.2">
      <c r="A67">
        <v>876</v>
      </c>
      <c r="B67" s="3">
        <f>B30/MIN($B30,$E30,$H30,$K30,$N30)</f>
        <v>2.847468101497971</v>
      </c>
      <c r="C67" s="5">
        <f>C30</f>
        <v>200</v>
      </c>
      <c r="D67" s="5">
        <f>D30</f>
        <v>0.863081213990189</v>
      </c>
      <c r="E67" s="3">
        <f>E30/MIN($B30,$E30,$H30,$K30,$N30)</f>
        <v>1.235950456677235</v>
      </c>
      <c r="F67" s="5">
        <f>F30</f>
        <v>200</v>
      </c>
      <c r="G67" s="5">
        <f>G30</f>
        <v>0.37462249153620603</v>
      </c>
      <c r="H67" s="3">
        <f>H30/MIN($B30,$E30,$H30,$K30,$N30)</f>
        <v>1.3524440283906189</v>
      </c>
      <c r="I67" s="5">
        <f>I30</f>
        <v>200</v>
      </c>
      <c r="J67" s="5">
        <f>J30</f>
        <v>0.40993224998764399</v>
      </c>
      <c r="K67" s="3">
        <f>K30/MIN($B30,$E30,$H30,$K30,$N30)</f>
        <v>1.6126953384376888</v>
      </c>
      <c r="L67" s="5">
        <f>L30</f>
        <v>200</v>
      </c>
      <c r="M67" s="5">
        <f>M30</f>
        <v>0.48881566612190103</v>
      </c>
      <c r="N67" s="3">
        <f>N30/MIN($B30,$E30,$H30,$K30,$N30)</f>
        <v>1</v>
      </c>
      <c r="O67" s="5">
        <f>O30</f>
        <v>200</v>
      </c>
      <c r="P67" s="5">
        <f>P30</f>
        <v>0.30310478022181597</v>
      </c>
    </row>
    <row r="68" spans="1:16" x14ac:dyDescent="0.2">
      <c r="A68">
        <v>877</v>
      </c>
      <c r="B68" s="3">
        <f>B31/MIN($B31,$E31,$H31,$K31,$N31)</f>
        <v>2.0219578181140476</v>
      </c>
      <c r="C68" s="5">
        <f>C31</f>
        <v>188.866400718688</v>
      </c>
      <c r="D68" s="5">
        <f>D31</f>
        <v>1.09860107036493</v>
      </c>
      <c r="E68" s="3">
        <f>E31/MIN($B31,$E31,$H31,$K31,$N31)</f>
        <v>1.0586811423483355</v>
      </c>
      <c r="F68" s="5">
        <f>F31</f>
        <v>166.113674015681</v>
      </c>
      <c r="G68" s="5">
        <f>G31</f>
        <v>0.497582408090738</v>
      </c>
      <c r="H68" s="3">
        <f>H31/MIN($B31,$E31,$H31,$K31,$N31)</f>
        <v>1.110080815193639</v>
      </c>
      <c r="I68" s="5">
        <f>I31</f>
        <v>173.43129173968001</v>
      </c>
      <c r="J68" s="5">
        <f>J31</f>
        <v>0.64605890828783497</v>
      </c>
      <c r="K68" s="3">
        <f>K31/MIN($B31,$E31,$H31,$K31,$N31)</f>
        <v>1</v>
      </c>
      <c r="L68" s="5">
        <f>L31</f>
        <v>169.51239310412501</v>
      </c>
      <c r="M68" s="5">
        <f>M31</f>
        <v>0.45245429886296801</v>
      </c>
      <c r="N68" s="3">
        <f>N31/MIN($B31,$E31,$H31,$K31,$N31)</f>
        <v>1.0871463960879415</v>
      </c>
      <c r="O68" s="5">
        <f>O31</f>
        <v>164.41244972321601</v>
      </c>
      <c r="P68" s="5">
        <f>P31</f>
        <v>0.377093007524679</v>
      </c>
    </row>
    <row r="69" spans="1:16" x14ac:dyDescent="0.2">
      <c r="A69">
        <v>888</v>
      </c>
      <c r="B69" s="3">
        <f>B32/MIN($B32,$E32,$H32,$K32,$N32)</f>
        <v>1.2653669947377133</v>
      </c>
      <c r="C69" s="5">
        <f>C32</f>
        <v>107.288718223571</v>
      </c>
      <c r="D69" s="5">
        <f>D32</f>
        <v>0.63332466885852901</v>
      </c>
      <c r="E69" s="3">
        <f>E32/MIN($B32,$E32,$H32,$K32,$N32)</f>
        <v>1.0448643448524686</v>
      </c>
      <c r="F69" s="5">
        <f>F32</f>
        <v>96.403316844402696</v>
      </c>
      <c r="G69" s="5">
        <f>G32</f>
        <v>0.54947203951392798</v>
      </c>
      <c r="H69" s="3">
        <f>H32/MIN($B32,$E32,$H32,$K32,$N32)</f>
        <v>1</v>
      </c>
      <c r="I69" s="5">
        <f>I32</f>
        <v>90.550423679877099</v>
      </c>
      <c r="J69" s="5">
        <f>J32</f>
        <v>0.51216043832979696</v>
      </c>
      <c r="K69" s="3">
        <f>K32/MIN($B32,$E32,$H32,$K32,$N32)</f>
        <v>1.1855097033657529</v>
      </c>
      <c r="L69" s="5">
        <f>L32</f>
        <v>101.520472058197</v>
      </c>
      <c r="M69" s="5">
        <f>M32</f>
        <v>0.67940194841215396</v>
      </c>
      <c r="N69" s="3">
        <f>N32/MIN($B32,$E32,$H32,$K32,$N32)</f>
        <v>1.1140574110215271</v>
      </c>
      <c r="O69" s="5">
        <f>O32</f>
        <v>128.08925898800101</v>
      </c>
      <c r="P69" s="5">
        <f>P32</f>
        <v>0.523306883738618</v>
      </c>
    </row>
    <row r="70" spans="1:16" x14ac:dyDescent="0.2">
      <c r="A70">
        <v>890</v>
      </c>
      <c r="B70" s="3">
        <f>B33/MIN($B33,$E33,$H33,$K33,$N33)</f>
        <v>1.4658402095467593</v>
      </c>
      <c r="C70" s="5">
        <f>C33</f>
        <v>82.509207725524902</v>
      </c>
      <c r="D70" s="5">
        <f>D33</f>
        <v>0.71719031391954602</v>
      </c>
      <c r="E70" s="3">
        <f>E33/MIN($B33,$E33,$H33,$K33,$N33)</f>
        <v>1.1457274199456289</v>
      </c>
      <c r="F70" s="5">
        <f>F33</f>
        <v>62.753118508957797</v>
      </c>
      <c r="G70" s="5">
        <f>G33</f>
        <v>0.48869321768125001</v>
      </c>
      <c r="H70" s="3">
        <f>H33/MIN($B33,$E33,$H33,$K33,$N33)</f>
        <v>1</v>
      </c>
      <c r="I70" s="5">
        <f>I33</f>
        <v>51.447216917737599</v>
      </c>
      <c r="J70" s="5">
        <f>J33</f>
        <v>0.46432515734531199</v>
      </c>
      <c r="K70" s="3">
        <f>K33/MIN($B33,$E33,$H33,$K33,$N33)</f>
        <v>1.3687566210819582</v>
      </c>
      <c r="L70" s="5">
        <f>L33</f>
        <v>65.228608871662601</v>
      </c>
      <c r="M70" s="5">
        <f>M33</f>
        <v>0.594345570595602</v>
      </c>
      <c r="N70" s="3">
        <f>N33/MIN($B33,$E33,$H33,$K33,$N33)</f>
        <v>1.2868312902309509</v>
      </c>
      <c r="O70" s="5">
        <f>O33</f>
        <v>76.296355853066103</v>
      </c>
      <c r="P70" s="5">
        <f>P33</f>
        <v>0.571192811214977</v>
      </c>
    </row>
    <row r="71" spans="1:16" ht="85" x14ac:dyDescent="0.2">
      <c r="A71" s="2" t="s">
        <v>81</v>
      </c>
      <c r="B71" s="3">
        <f>AVERAGE(B39:B70)</f>
        <v>1.7107089247828124</v>
      </c>
      <c r="C71" s="10">
        <f t="shared" ref="C71:P71" si="1">AVERAGE(C39:C70)</f>
        <v>136.40950880944678</v>
      </c>
      <c r="D71" s="10">
        <f t="shared" si="1"/>
        <v>0.94679494357601546</v>
      </c>
      <c r="E71" s="3">
        <f t="shared" si="1"/>
        <v>1.1493621717229712</v>
      </c>
      <c r="F71" s="10">
        <f t="shared" si="1"/>
        <v>122.5762731622614</v>
      </c>
      <c r="G71" s="10">
        <f t="shared" si="1"/>
        <v>0.73957392432502678</v>
      </c>
      <c r="H71" s="3">
        <f t="shared" si="1"/>
        <v>1.2916739220934175</v>
      </c>
      <c r="I71" s="10">
        <f t="shared" si="1"/>
        <v>123.72676485305202</v>
      </c>
      <c r="J71" s="10">
        <f t="shared" si="1"/>
        <v>0.75449226951778514</v>
      </c>
      <c r="K71" s="3">
        <f t="shared" si="1"/>
        <v>1.1838463148206957</v>
      </c>
      <c r="L71" s="10">
        <f t="shared" si="1"/>
        <v>124.13999279380032</v>
      </c>
      <c r="M71" s="10">
        <f t="shared" si="1"/>
        <v>0.79742695371629968</v>
      </c>
      <c r="N71" s="3">
        <f t="shared" si="1"/>
        <v>1.1289405310748464</v>
      </c>
      <c r="O71" s="10">
        <f t="shared" si="1"/>
        <v>125.27494525435715</v>
      </c>
      <c r="P71" s="10">
        <f t="shared" si="1"/>
        <v>0.66593067630864267</v>
      </c>
    </row>
  </sheetData>
  <pageMargins left="0.75" right="0.75" top="1" bottom="1" header="0.5" footer="0.5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65E8-EEF0-854E-8148-610EF22B5B05}">
  <dimension ref="A1:R72"/>
  <sheetViews>
    <sheetView topLeftCell="A54" workbookViewId="0">
      <selection activeCell="G21" sqref="G21"/>
    </sheetView>
  </sheetViews>
  <sheetFormatPr baseColWidth="10" defaultRowHeight="16" x14ac:dyDescent="0.2"/>
  <cols>
    <col min="1" max="1" width="16.83203125" customWidth="1"/>
    <col min="2" max="2" width="12.1640625" style="3" customWidth="1"/>
    <col min="3" max="3" width="11.5" customWidth="1"/>
    <col min="4" max="4" width="12.83203125" customWidth="1"/>
    <col min="5" max="5" width="12.33203125" style="3" customWidth="1"/>
    <col min="6" max="6" width="11.6640625" customWidth="1"/>
    <col min="7" max="7" width="11.83203125" customWidth="1"/>
    <col min="8" max="8" width="11.6640625" style="3" customWidth="1"/>
    <col min="9" max="9" width="12.1640625" customWidth="1"/>
    <col min="10" max="10" width="11.83203125" customWidth="1"/>
    <col min="11" max="11" width="12.6640625" style="3" customWidth="1"/>
    <col min="12" max="12" width="13.83203125" customWidth="1"/>
    <col min="13" max="13" width="12.1640625" customWidth="1"/>
    <col min="14" max="14" width="12.1640625" style="3" customWidth="1"/>
    <col min="15" max="15" width="11.5" customWidth="1"/>
    <col min="16" max="16" width="12.5" customWidth="1"/>
    <col min="18" max="18" width="21" customWidth="1"/>
  </cols>
  <sheetData>
    <row r="1" spans="1:18" s="1" customFormat="1" ht="51" x14ac:dyDescent="0.2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R1" s="1" t="s">
        <v>16</v>
      </c>
    </row>
    <row r="2" spans="1:18" x14ac:dyDescent="0.2">
      <c r="A2">
        <v>47</v>
      </c>
      <c r="B2" s="3">
        <v>6094.9310086333198</v>
      </c>
      <c r="C2">
        <v>121.193802356719</v>
      </c>
      <c r="D2">
        <v>0.48105390711651302</v>
      </c>
      <c r="E2" s="3">
        <v>6393.2710294306698</v>
      </c>
      <c r="F2">
        <v>124.46870657701101</v>
      </c>
      <c r="G2">
        <v>0.59550928053681895</v>
      </c>
      <c r="H2" s="3">
        <v>6331.5785448782099</v>
      </c>
      <c r="I2">
        <v>131.79231367019</v>
      </c>
      <c r="J2">
        <v>0.63584054954250102</v>
      </c>
      <c r="K2" s="3">
        <v>7778.0531202909397</v>
      </c>
      <c r="L2">
        <v>131.87642040966401</v>
      </c>
      <c r="M2">
        <v>0.81354759431433299</v>
      </c>
      <c r="N2" s="3">
        <v>4014.9996225762402</v>
      </c>
      <c r="O2">
        <v>117.09879572960899</v>
      </c>
      <c r="P2">
        <v>0.31044353423552101</v>
      </c>
      <c r="R2" s="4" t="s">
        <v>17</v>
      </c>
    </row>
    <row r="3" spans="1:18" x14ac:dyDescent="0.2">
      <c r="A3">
        <v>65</v>
      </c>
      <c r="B3" s="3">
        <v>1821.8052173599599</v>
      </c>
      <c r="C3">
        <v>189.78523015975901</v>
      </c>
      <c r="D3">
        <v>1.1784407702355899</v>
      </c>
      <c r="E3" s="3">
        <v>1327.08243076128</v>
      </c>
      <c r="F3">
        <v>179.19803551747</v>
      </c>
      <c r="G3">
        <v>0.99346582017927998</v>
      </c>
      <c r="H3" s="3">
        <v>1243.8233844183501</v>
      </c>
      <c r="I3">
        <v>171.238456543339</v>
      </c>
      <c r="J3">
        <v>0.92597904266196496</v>
      </c>
      <c r="K3" s="3">
        <v>1273.68659439575</v>
      </c>
      <c r="L3">
        <v>172.52319469246299</v>
      </c>
      <c r="M3">
        <v>1.1170774106336601</v>
      </c>
      <c r="N3" s="3">
        <v>1263.7988437056199</v>
      </c>
      <c r="O3">
        <v>177.192392433793</v>
      </c>
      <c r="P3">
        <v>0.86889094725861205</v>
      </c>
      <c r="R3" s="4" t="s">
        <v>18</v>
      </c>
    </row>
    <row r="4" spans="1:18" x14ac:dyDescent="0.2">
      <c r="A4">
        <v>98</v>
      </c>
      <c r="B4" s="3">
        <v>2684.9225314708801</v>
      </c>
      <c r="C4">
        <v>198.28226566314601</v>
      </c>
      <c r="D4">
        <v>0.78271266323230004</v>
      </c>
      <c r="E4" s="3">
        <v>1021.71897907121</v>
      </c>
      <c r="F4">
        <v>198.655282308875</v>
      </c>
      <c r="G4">
        <v>0.34840919764515299</v>
      </c>
      <c r="H4" s="3">
        <v>2115.41417105645</v>
      </c>
      <c r="I4">
        <v>194.32545974594399</v>
      </c>
      <c r="J4">
        <v>0.846981166032303</v>
      </c>
      <c r="K4" s="3">
        <v>2337.1700510646401</v>
      </c>
      <c r="L4">
        <v>194.184810558842</v>
      </c>
      <c r="M4">
        <v>0.93101975810621396</v>
      </c>
      <c r="N4" s="3">
        <v>813.43687612727103</v>
      </c>
      <c r="O4">
        <v>198.17354880675799</v>
      </c>
      <c r="P4">
        <v>0.29286816603010402</v>
      </c>
      <c r="R4" s="4" t="s">
        <v>19</v>
      </c>
    </row>
    <row r="5" spans="1:18" x14ac:dyDescent="0.2">
      <c r="A5">
        <v>114</v>
      </c>
      <c r="B5" s="3">
        <v>73244.732124569797</v>
      </c>
      <c r="C5">
        <v>72.381448745727496</v>
      </c>
      <c r="D5">
        <v>1.04437650934185</v>
      </c>
      <c r="E5" s="3">
        <v>51838.676431848799</v>
      </c>
      <c r="F5">
        <v>52.295170773032503</v>
      </c>
      <c r="G5">
        <v>0.6589834757659</v>
      </c>
      <c r="H5" s="3">
        <v>43252.936606728501</v>
      </c>
      <c r="I5">
        <v>44.917239463131203</v>
      </c>
      <c r="J5">
        <v>0.57231123708796094</v>
      </c>
      <c r="K5" s="3">
        <v>40211.102559287501</v>
      </c>
      <c r="L5">
        <v>47.048566557131799</v>
      </c>
      <c r="M5">
        <v>0.56375501540032902</v>
      </c>
      <c r="N5" s="3">
        <v>52362.008522527802</v>
      </c>
      <c r="O5">
        <v>60.937711034113597</v>
      </c>
      <c r="P5">
        <v>0.74976756183058102</v>
      </c>
      <c r="R5" s="4" t="s">
        <v>20</v>
      </c>
    </row>
    <row r="6" spans="1:18" x14ac:dyDescent="0.2">
      <c r="A6">
        <v>123</v>
      </c>
      <c r="B6" s="3">
        <v>11283.9673874041</v>
      </c>
      <c r="C6">
        <v>128.46839427947901</v>
      </c>
      <c r="D6">
        <v>1.05894490143628</v>
      </c>
      <c r="E6" s="3">
        <v>10174.113327250299</v>
      </c>
      <c r="F6">
        <v>121.95017267975</v>
      </c>
      <c r="G6">
        <v>0.99921980378140496</v>
      </c>
      <c r="H6" s="3">
        <v>10171.2106505882</v>
      </c>
      <c r="I6">
        <v>120.290151117439</v>
      </c>
      <c r="J6">
        <v>0.98175929779722604</v>
      </c>
      <c r="K6" s="3">
        <v>10482.653145752</v>
      </c>
      <c r="L6">
        <v>114.959256061215</v>
      </c>
      <c r="M6">
        <v>0.93916598349397995</v>
      </c>
      <c r="N6" s="3">
        <v>10624.3095624507</v>
      </c>
      <c r="O6">
        <v>127.30502853674</v>
      </c>
      <c r="P6">
        <v>0.96162168534012105</v>
      </c>
      <c r="R6" s="4" t="s">
        <v>21</v>
      </c>
    </row>
    <row r="7" spans="1:18" x14ac:dyDescent="0.2">
      <c r="A7">
        <v>168</v>
      </c>
      <c r="B7" s="3">
        <v>2569.2578695023899</v>
      </c>
      <c r="C7">
        <v>138.71734142303399</v>
      </c>
      <c r="D7">
        <v>0.92979902142298099</v>
      </c>
      <c r="E7" s="3">
        <v>3168.5763653876202</v>
      </c>
      <c r="F7">
        <v>139.36390958595899</v>
      </c>
      <c r="G7">
        <v>1.3221926509023001</v>
      </c>
      <c r="H7" s="3">
        <v>2636.19115285418</v>
      </c>
      <c r="I7">
        <v>126.89677641740001</v>
      </c>
      <c r="J7">
        <v>0.98545513830667697</v>
      </c>
      <c r="K7" s="3">
        <v>2441.6180087164698</v>
      </c>
      <c r="L7">
        <v>130.00265515824401</v>
      </c>
      <c r="M7">
        <v>1.08330954892436</v>
      </c>
      <c r="N7" s="3">
        <v>2791.3258953121099</v>
      </c>
      <c r="O7">
        <v>131.39674413071</v>
      </c>
      <c r="P7">
        <v>1.0692733826262399</v>
      </c>
      <c r="R7" s="4" t="s">
        <v>22</v>
      </c>
    </row>
    <row r="8" spans="1:18" x14ac:dyDescent="0.2">
      <c r="A8">
        <v>172</v>
      </c>
      <c r="B8" s="3">
        <v>12832.7805248901</v>
      </c>
      <c r="C8">
        <v>120.954167842865</v>
      </c>
      <c r="D8">
        <v>0.85254792463440798</v>
      </c>
      <c r="E8" s="3">
        <v>9266.6779423716398</v>
      </c>
      <c r="F8">
        <v>122.744314063288</v>
      </c>
      <c r="G8">
        <v>0.78170999555890597</v>
      </c>
      <c r="H8" s="3">
        <v>8867.7332476885294</v>
      </c>
      <c r="I8">
        <v>122.000014713041</v>
      </c>
      <c r="J8">
        <v>0.76368091651144798</v>
      </c>
      <c r="K8" s="3">
        <v>12066.1573176867</v>
      </c>
      <c r="L8">
        <v>133.345210184758</v>
      </c>
      <c r="M8">
        <v>1.1711535465429099</v>
      </c>
      <c r="N8" s="3">
        <v>8566.0026875207095</v>
      </c>
      <c r="O8">
        <v>121.408935612194</v>
      </c>
      <c r="P8">
        <v>0.73032436466545902</v>
      </c>
      <c r="R8" s="4" t="s">
        <v>23</v>
      </c>
    </row>
    <row r="9" spans="1:18" x14ac:dyDescent="0.2">
      <c r="A9">
        <v>185</v>
      </c>
      <c r="B9" s="3">
        <v>29262.2820709527</v>
      </c>
      <c r="C9">
        <v>111.213707923889</v>
      </c>
      <c r="D9">
        <v>0.89323661014570999</v>
      </c>
      <c r="E9" s="3">
        <v>30448.066101414901</v>
      </c>
      <c r="F9">
        <v>97.700367494684201</v>
      </c>
      <c r="G9">
        <v>0.85835183006424198</v>
      </c>
      <c r="H9" s="3">
        <v>30642.562327336302</v>
      </c>
      <c r="I9">
        <v>97.822552392920997</v>
      </c>
      <c r="J9">
        <v>0.86970239796609505</v>
      </c>
      <c r="K9" s="3">
        <v>28194.820874561199</v>
      </c>
      <c r="L9">
        <v>95.965885304685003</v>
      </c>
      <c r="M9">
        <v>0.74601509079938799</v>
      </c>
      <c r="N9" s="3">
        <v>31840.532409074101</v>
      </c>
      <c r="O9">
        <v>125.260383955354</v>
      </c>
      <c r="P9">
        <v>0.89259996616564996</v>
      </c>
      <c r="R9" s="4" t="s">
        <v>24</v>
      </c>
    </row>
    <row r="10" spans="1:18" x14ac:dyDescent="0.2">
      <c r="A10">
        <v>195</v>
      </c>
      <c r="B10" s="3">
        <v>69453.377513264204</v>
      </c>
      <c r="C10">
        <v>100.575041770935</v>
      </c>
      <c r="D10">
        <v>0.74239112459921397</v>
      </c>
      <c r="E10" s="3">
        <v>53455.934241183102</v>
      </c>
      <c r="F10">
        <v>90.783409211563495</v>
      </c>
      <c r="G10">
        <v>0.52772235836524095</v>
      </c>
      <c r="H10" s="3">
        <v>52353.412321601601</v>
      </c>
      <c r="I10">
        <v>88.674070994120697</v>
      </c>
      <c r="J10">
        <v>0.50330362572045195</v>
      </c>
      <c r="K10" s="3">
        <v>70371.182995645795</v>
      </c>
      <c r="L10">
        <v>102.745520019061</v>
      </c>
      <c r="M10">
        <v>0.78172880303729897</v>
      </c>
      <c r="N10" s="3">
        <v>62209.6017810376</v>
      </c>
      <c r="O10">
        <v>102.60972843491101</v>
      </c>
      <c r="P10">
        <v>0.53710987235088103</v>
      </c>
      <c r="R10" s="4" t="s">
        <v>25</v>
      </c>
    </row>
    <row r="11" spans="1:18" x14ac:dyDescent="0.2">
      <c r="A11">
        <v>197</v>
      </c>
      <c r="B11" s="3">
        <v>12741.9081773492</v>
      </c>
      <c r="C11">
        <v>149.86077547073299</v>
      </c>
      <c r="D11">
        <v>0.91799510660457395</v>
      </c>
      <c r="E11" s="3">
        <v>12811.7953336884</v>
      </c>
      <c r="F11">
        <v>139.818165296465</v>
      </c>
      <c r="G11">
        <v>0.83446832872863996</v>
      </c>
      <c r="H11" s="3">
        <v>12245.3894469353</v>
      </c>
      <c r="I11">
        <v>142.06904381532499</v>
      </c>
      <c r="J11">
        <v>0.85979989564402104</v>
      </c>
      <c r="K11" s="3">
        <v>12357.3750114793</v>
      </c>
      <c r="L11">
        <v>141.913581286214</v>
      </c>
      <c r="M11">
        <v>0.755631519160471</v>
      </c>
      <c r="N11" s="3">
        <v>12615.2850430873</v>
      </c>
      <c r="O11">
        <v>136.44381453273499</v>
      </c>
      <c r="P11">
        <v>0.73695267449605195</v>
      </c>
      <c r="R11" s="4" t="s">
        <v>26</v>
      </c>
    </row>
    <row r="12" spans="1:18" x14ac:dyDescent="0.2">
      <c r="A12">
        <v>237</v>
      </c>
      <c r="B12" s="3">
        <v>32706.455876477899</v>
      </c>
      <c r="C12">
        <v>154.110062122344</v>
      </c>
      <c r="D12">
        <v>1.05814849175846</v>
      </c>
      <c r="E12" s="3">
        <v>23288.611136801301</v>
      </c>
      <c r="F12">
        <v>125.235767098729</v>
      </c>
      <c r="G12">
        <v>0.54339941350544196</v>
      </c>
      <c r="H12" s="3">
        <v>19608.7656546566</v>
      </c>
      <c r="I12">
        <v>121.193922196834</v>
      </c>
      <c r="J12">
        <v>0.57202243553013898</v>
      </c>
      <c r="K12" s="3">
        <v>21650.864037085299</v>
      </c>
      <c r="L12">
        <v>117.823535196248</v>
      </c>
      <c r="M12">
        <v>0.60021267757549501</v>
      </c>
      <c r="N12" s="3">
        <v>20973.315152985801</v>
      </c>
      <c r="O12">
        <v>109.65047786636801</v>
      </c>
      <c r="P12">
        <v>0.49935110970154001</v>
      </c>
      <c r="R12" s="4" t="s">
        <v>27</v>
      </c>
    </row>
    <row r="13" spans="1:18" x14ac:dyDescent="0.2">
      <c r="A13">
        <v>272</v>
      </c>
      <c r="B13" s="3">
        <v>2419.3362726169298</v>
      </c>
      <c r="C13">
        <v>169.60082054138101</v>
      </c>
      <c r="D13">
        <v>1.29196188971335</v>
      </c>
      <c r="E13" s="3">
        <v>1535.5831462210599</v>
      </c>
      <c r="F13">
        <v>145.14119736861201</v>
      </c>
      <c r="G13">
        <v>0.84864270259796903</v>
      </c>
      <c r="H13" s="3">
        <v>1496.9420843493899</v>
      </c>
      <c r="I13">
        <v>140.81716112589299</v>
      </c>
      <c r="J13">
        <v>0.724130082127309</v>
      </c>
      <c r="K13" s="3">
        <v>1871.41733001393</v>
      </c>
      <c r="L13">
        <v>152.13569530817699</v>
      </c>
      <c r="M13">
        <v>1.14483114948811</v>
      </c>
      <c r="N13" s="3">
        <v>1596.2629631903201</v>
      </c>
      <c r="O13">
        <v>152.809626898017</v>
      </c>
      <c r="P13">
        <v>0.65215507155297503</v>
      </c>
      <c r="R13" s="4" t="s">
        <v>28</v>
      </c>
    </row>
    <row r="14" spans="1:18" x14ac:dyDescent="0.2">
      <c r="A14">
        <v>279</v>
      </c>
      <c r="B14" s="3">
        <v>55119.507690109102</v>
      </c>
      <c r="C14">
        <v>117.45172739028899</v>
      </c>
      <c r="D14">
        <v>0.74271764102673499</v>
      </c>
      <c r="E14" s="3">
        <v>34499.568050340204</v>
      </c>
      <c r="F14">
        <v>91.364041413681093</v>
      </c>
      <c r="G14">
        <v>0.57707656543660402</v>
      </c>
      <c r="H14" s="3">
        <v>33338.249763780201</v>
      </c>
      <c r="I14">
        <v>99.713112984346196</v>
      </c>
      <c r="J14">
        <v>0.55223325096248799</v>
      </c>
      <c r="K14" s="3">
        <v>52305.314748612298</v>
      </c>
      <c r="L14">
        <v>111.674742831465</v>
      </c>
      <c r="M14">
        <v>0.82753695747354195</v>
      </c>
      <c r="N14" s="3">
        <v>41271.4704220157</v>
      </c>
      <c r="O14">
        <v>85.337321041895095</v>
      </c>
      <c r="P14">
        <v>0.52544311919544096</v>
      </c>
      <c r="R14" s="4" t="s">
        <v>29</v>
      </c>
    </row>
    <row r="15" spans="1:18" x14ac:dyDescent="0.2">
      <c r="A15">
        <v>709</v>
      </c>
      <c r="B15" s="3">
        <v>1827.1622806964899</v>
      </c>
      <c r="C15">
        <v>137.833297252655</v>
      </c>
      <c r="D15">
        <v>3.5006196016164101E-2</v>
      </c>
      <c r="E15" s="3">
        <v>857.36758722324896</v>
      </c>
      <c r="F15">
        <v>183.67090019803399</v>
      </c>
      <c r="G15">
        <v>1.2730766131148199E-2</v>
      </c>
      <c r="H15" s="3">
        <v>1322.5542506725301</v>
      </c>
      <c r="I15">
        <v>175.22883018883101</v>
      </c>
      <c r="J15">
        <v>2.7689198084264299E-2</v>
      </c>
      <c r="K15" s="3">
        <v>760.55392547014696</v>
      </c>
      <c r="L15">
        <v>132.81700254382901</v>
      </c>
      <c r="M15">
        <v>1.1931528559529199E-2</v>
      </c>
      <c r="N15" s="3">
        <v>840.32508198693495</v>
      </c>
      <c r="O15">
        <v>180.68405872608099</v>
      </c>
      <c r="P15">
        <v>1.2212174836587901E-2</v>
      </c>
      <c r="R15" s="4" t="s">
        <v>30</v>
      </c>
    </row>
    <row r="16" spans="1:18" x14ac:dyDescent="0.2">
      <c r="A16">
        <v>712</v>
      </c>
      <c r="B16" s="3">
        <v>4515.60804322075</v>
      </c>
      <c r="C16">
        <v>156.34437799453701</v>
      </c>
      <c r="D16">
        <v>0.90472977815007405</v>
      </c>
      <c r="E16" s="3">
        <v>2688.0459949615401</v>
      </c>
      <c r="F16">
        <v>129.52510133865599</v>
      </c>
      <c r="G16">
        <v>0.66111218449446796</v>
      </c>
      <c r="H16" s="3">
        <v>2483.1970022779501</v>
      </c>
      <c r="I16">
        <v>130.91670361805299</v>
      </c>
      <c r="J16">
        <v>0.59758278767585005</v>
      </c>
      <c r="K16" s="3">
        <v>3417.8609922742598</v>
      </c>
      <c r="L16">
        <v>137.379126388717</v>
      </c>
      <c r="M16">
        <v>1.0376833699947901</v>
      </c>
      <c r="N16" s="3">
        <v>2892.0499100530101</v>
      </c>
      <c r="O16">
        <v>137.20891794406501</v>
      </c>
      <c r="P16">
        <v>0.72712172171238298</v>
      </c>
      <c r="R16" s="4" t="s">
        <v>31</v>
      </c>
    </row>
    <row r="17" spans="1:18" x14ac:dyDescent="0.2">
      <c r="A17">
        <v>714</v>
      </c>
      <c r="B17" s="3">
        <v>1807.5377589417001</v>
      </c>
      <c r="C17">
        <v>174.325990676879</v>
      </c>
      <c r="D17">
        <v>0.80615694677902905</v>
      </c>
      <c r="E17" s="3">
        <v>518.87545650241896</v>
      </c>
      <c r="F17">
        <v>115.85790890621099</v>
      </c>
      <c r="G17">
        <v>0.27313364596908402</v>
      </c>
      <c r="H17" s="3">
        <v>1081.7011022690101</v>
      </c>
      <c r="I17">
        <v>154.22369676610001</v>
      </c>
      <c r="J17">
        <v>0.55482219267255695</v>
      </c>
      <c r="K17" s="3">
        <v>642.34514579101005</v>
      </c>
      <c r="L17">
        <v>167.77015951085201</v>
      </c>
      <c r="M17">
        <v>0.31786704080146799</v>
      </c>
      <c r="N17" s="3">
        <v>644.52826379287296</v>
      </c>
      <c r="O17">
        <v>172.49899617092601</v>
      </c>
      <c r="P17">
        <v>0.30722560806086702</v>
      </c>
      <c r="R17" s="4" t="s">
        <v>32</v>
      </c>
    </row>
    <row r="18" spans="1:18" x14ac:dyDescent="0.2">
      <c r="A18">
        <v>722</v>
      </c>
      <c r="B18" s="3">
        <v>314181.50820186699</v>
      </c>
      <c r="C18">
        <v>119.25379037857</v>
      </c>
      <c r="D18">
        <v>1.0750944638633999</v>
      </c>
      <c r="E18" s="3">
        <v>216823.902362956</v>
      </c>
      <c r="F18">
        <v>119.58094322038301</v>
      </c>
      <c r="G18">
        <v>0.83321798769566302</v>
      </c>
      <c r="H18" s="3">
        <v>183273.49182915999</v>
      </c>
      <c r="I18">
        <v>104.58139348937399</v>
      </c>
      <c r="J18">
        <v>0.64927734367203604</v>
      </c>
      <c r="K18" s="3">
        <v>200536.05501143399</v>
      </c>
      <c r="L18">
        <v>116.76679635616701</v>
      </c>
      <c r="M18">
        <v>0.75703474624117095</v>
      </c>
      <c r="N18" s="3">
        <v>188580.78249887601</v>
      </c>
      <c r="O18">
        <v>105.99779545762399</v>
      </c>
      <c r="P18">
        <v>0.58802572342889603</v>
      </c>
      <c r="R18" s="4" t="s">
        <v>33</v>
      </c>
    </row>
    <row r="19" spans="1:18" x14ac:dyDescent="0.2">
      <c r="A19">
        <v>724</v>
      </c>
      <c r="B19" s="3">
        <v>6360.2506239927297</v>
      </c>
      <c r="C19">
        <v>63.764899969100902</v>
      </c>
      <c r="D19">
        <v>0.87855640485321496</v>
      </c>
      <c r="E19" s="3">
        <v>4993.8136231646404</v>
      </c>
      <c r="F19">
        <v>62.0953075805023</v>
      </c>
      <c r="G19">
        <v>0.76970395255276502</v>
      </c>
      <c r="H19" s="3">
        <v>4554.0593172592398</v>
      </c>
      <c r="I19">
        <v>58.711799653603101</v>
      </c>
      <c r="J19">
        <v>0.69589338644394305</v>
      </c>
      <c r="K19" s="3">
        <v>4690.7262009464903</v>
      </c>
      <c r="L19">
        <v>64.636055761877799</v>
      </c>
      <c r="M19">
        <v>0.73504561823816295</v>
      </c>
      <c r="N19" s="3">
        <v>6767.4602787859703</v>
      </c>
      <c r="O19">
        <v>103.167713503435</v>
      </c>
      <c r="P19">
        <v>0.94885207257817294</v>
      </c>
      <c r="R19" s="4" t="s">
        <v>34</v>
      </c>
    </row>
    <row r="20" spans="1:18" x14ac:dyDescent="0.2">
      <c r="A20">
        <v>749</v>
      </c>
      <c r="B20" s="3">
        <v>64949.003995442399</v>
      </c>
      <c r="C20">
        <v>146.98601961135799</v>
      </c>
      <c r="D20">
        <v>2.5378282228841802</v>
      </c>
      <c r="E20" s="3">
        <v>19024.317029594898</v>
      </c>
      <c r="F20">
        <v>104.79200705662301</v>
      </c>
      <c r="G20">
        <v>0.67526558216079302</v>
      </c>
      <c r="H20" s="3">
        <v>21171.404329327401</v>
      </c>
      <c r="I20">
        <v>126.104857397275</v>
      </c>
      <c r="J20">
        <v>0.82891428811804302</v>
      </c>
      <c r="K20" s="3">
        <v>27103.369993934699</v>
      </c>
      <c r="L20">
        <v>132.366771341993</v>
      </c>
      <c r="M20">
        <v>1.1631672317706401</v>
      </c>
      <c r="N20" s="3">
        <v>21629.968825579999</v>
      </c>
      <c r="O20">
        <v>120.522079560072</v>
      </c>
      <c r="P20">
        <v>0.934494028143247</v>
      </c>
      <c r="R20" s="4" t="s">
        <v>36</v>
      </c>
    </row>
    <row r="21" spans="1:18" x14ac:dyDescent="0.2">
      <c r="A21">
        <v>777</v>
      </c>
      <c r="B21" s="3">
        <v>4265.1565035763897</v>
      </c>
      <c r="C21">
        <v>150.13567209243701</v>
      </c>
      <c r="D21">
        <v>1.0596948012014</v>
      </c>
      <c r="E21" s="3">
        <v>2559.7417961342899</v>
      </c>
      <c r="F21">
        <v>148.45549180987899</v>
      </c>
      <c r="G21">
        <v>0.83128728193778301</v>
      </c>
      <c r="H21" s="3">
        <v>3056.36251769094</v>
      </c>
      <c r="I21">
        <v>151.663889358685</v>
      </c>
      <c r="J21">
        <v>0.97517073096164397</v>
      </c>
      <c r="K21" s="3">
        <v>2478.8613687780198</v>
      </c>
      <c r="L21">
        <v>150.45698173896</v>
      </c>
      <c r="M21">
        <v>0.723232816465191</v>
      </c>
      <c r="N21" s="3">
        <v>2440.5827698337098</v>
      </c>
      <c r="O21">
        <v>147.99062738847701</v>
      </c>
      <c r="P21">
        <v>0.56779372073376499</v>
      </c>
      <c r="R21" s="4" t="s">
        <v>38</v>
      </c>
    </row>
    <row r="22" spans="1:18" x14ac:dyDescent="0.2">
      <c r="A22">
        <v>782</v>
      </c>
      <c r="B22" s="3">
        <v>28587.015793887898</v>
      </c>
      <c r="C22">
        <v>149.00857210159299</v>
      </c>
      <c r="D22">
        <v>1.1368095500981501</v>
      </c>
      <c r="E22" s="3">
        <v>19479.031510419802</v>
      </c>
      <c r="F22">
        <v>117.390931991899</v>
      </c>
      <c r="G22">
        <v>0.705667132586836</v>
      </c>
      <c r="H22" s="3">
        <v>20270.734918230199</v>
      </c>
      <c r="I22">
        <v>121.29022287637601</v>
      </c>
      <c r="J22">
        <v>0.81302607073592503</v>
      </c>
      <c r="K22" s="3">
        <v>18771.132608794102</v>
      </c>
      <c r="L22">
        <v>108.43210025174599</v>
      </c>
      <c r="M22">
        <v>0.680501520684337</v>
      </c>
      <c r="N22" s="3">
        <v>19487.635324232</v>
      </c>
      <c r="O22">
        <v>117.80096663517899</v>
      </c>
      <c r="P22">
        <v>0.71363309037785505</v>
      </c>
      <c r="R22" s="4" t="s">
        <v>40</v>
      </c>
    </row>
    <row r="23" spans="1:18" x14ac:dyDescent="0.2">
      <c r="A23">
        <v>792</v>
      </c>
      <c r="B23" s="3">
        <v>18656.251284757</v>
      </c>
      <c r="C23">
        <v>101.101124286651</v>
      </c>
      <c r="D23">
        <v>0.76657210881868998</v>
      </c>
      <c r="E23" s="3">
        <v>17062.984812482999</v>
      </c>
      <c r="F23">
        <v>95.898137138436098</v>
      </c>
      <c r="G23">
        <v>0.84458714262376</v>
      </c>
      <c r="H23" s="3">
        <v>17333.454749576402</v>
      </c>
      <c r="I23">
        <v>98.399288660938694</v>
      </c>
      <c r="J23">
        <v>0.82578589770542199</v>
      </c>
      <c r="K23" s="3">
        <v>16996.611511358002</v>
      </c>
      <c r="L23">
        <v>89.7906858173573</v>
      </c>
      <c r="M23">
        <v>0.80205188869734301</v>
      </c>
      <c r="N23" s="3">
        <v>21358.358404710802</v>
      </c>
      <c r="O23">
        <v>142.55659957488001</v>
      </c>
      <c r="P23">
        <v>0.91706943407447605</v>
      </c>
      <c r="R23" s="4" t="s">
        <v>75</v>
      </c>
    </row>
    <row r="24" spans="1:18" x14ac:dyDescent="0.2">
      <c r="A24">
        <v>804</v>
      </c>
      <c r="B24" s="3">
        <v>6636.7139459223299</v>
      </c>
      <c r="C24">
        <v>156.58943653106601</v>
      </c>
      <c r="D24">
        <v>0.79633517421825994</v>
      </c>
      <c r="E24" s="3">
        <v>6392.3527955814998</v>
      </c>
      <c r="F24">
        <v>121.618919795236</v>
      </c>
      <c r="G24">
        <v>0.80897774369873499</v>
      </c>
      <c r="H24" s="3">
        <v>5120.1586063628401</v>
      </c>
      <c r="I24">
        <v>133.23239865847901</v>
      </c>
      <c r="J24">
        <v>0.682575873291701</v>
      </c>
      <c r="K24" s="3">
        <v>5688.3925093524504</v>
      </c>
      <c r="L24">
        <v>124.868920771977</v>
      </c>
      <c r="M24">
        <v>0.74598292995888005</v>
      </c>
      <c r="N24" s="3">
        <v>5315.1964977871503</v>
      </c>
      <c r="O24">
        <v>124.74056439571901</v>
      </c>
      <c r="P24">
        <v>0.61024737254122197</v>
      </c>
      <c r="R24" s="4" t="s">
        <v>76</v>
      </c>
    </row>
    <row r="25" spans="1:18" x14ac:dyDescent="0.2">
      <c r="A25">
        <v>812</v>
      </c>
      <c r="B25" s="3">
        <v>30528.873153131601</v>
      </c>
      <c r="C25">
        <v>98.199582099914494</v>
      </c>
      <c r="D25">
        <v>2.2944520077295301</v>
      </c>
      <c r="E25" s="3">
        <v>25246.989055296301</v>
      </c>
      <c r="F25">
        <v>87.441142348662893</v>
      </c>
      <c r="G25">
        <v>1.9372161433797701</v>
      </c>
      <c r="H25" s="3">
        <v>23514.293286070799</v>
      </c>
      <c r="I25">
        <v>88.663567117656498</v>
      </c>
      <c r="J25">
        <v>1.89372388290204</v>
      </c>
      <c r="K25" s="3">
        <v>27186.5587660233</v>
      </c>
      <c r="L25">
        <v>99.0160495606887</v>
      </c>
      <c r="M25">
        <v>2.5329502637717201</v>
      </c>
      <c r="N25" s="3">
        <v>26155.1713567388</v>
      </c>
      <c r="O25">
        <v>92.276404557683605</v>
      </c>
      <c r="P25">
        <v>2.05862318528234</v>
      </c>
      <c r="R25" s="4" t="s">
        <v>88</v>
      </c>
    </row>
    <row r="26" spans="1:18" x14ac:dyDescent="0.2">
      <c r="A26">
        <v>816</v>
      </c>
      <c r="B26" s="3">
        <v>11531.399915014599</v>
      </c>
      <c r="C26">
        <v>174.744343757629</v>
      </c>
      <c r="D26">
        <v>0.72007029290726099</v>
      </c>
      <c r="E26" s="3">
        <v>5744.0279621826703</v>
      </c>
      <c r="F26">
        <v>163.98991841072501</v>
      </c>
      <c r="G26">
        <v>0.36798252511766899</v>
      </c>
      <c r="H26" s="3">
        <v>9924.1546915631498</v>
      </c>
      <c r="I26">
        <v>184.326595692517</v>
      </c>
      <c r="J26">
        <v>0.72682982085983106</v>
      </c>
      <c r="K26" s="3">
        <v>6992.9049957562502</v>
      </c>
      <c r="L26">
        <v>172.13330681102701</v>
      </c>
      <c r="M26">
        <v>0.52182396209452098</v>
      </c>
      <c r="N26" s="3">
        <v>6042.72467770607</v>
      </c>
      <c r="O26">
        <v>176.73322913461499</v>
      </c>
      <c r="P26">
        <v>0.42387845259615498</v>
      </c>
      <c r="R26" s="4" t="s">
        <v>71</v>
      </c>
    </row>
    <row r="27" spans="1:18" x14ac:dyDescent="0.2">
      <c r="A27">
        <v>822</v>
      </c>
      <c r="B27" s="3">
        <v>28092.876819578301</v>
      </c>
      <c r="C27">
        <v>138.331580162048</v>
      </c>
      <c r="D27">
        <v>0.64585844044059504</v>
      </c>
      <c r="E27" s="3">
        <v>27464.9795929213</v>
      </c>
      <c r="F27">
        <v>117.853039235164</v>
      </c>
      <c r="G27">
        <v>0.73394217883056201</v>
      </c>
      <c r="H27" s="3">
        <v>24904.506663921598</v>
      </c>
      <c r="I27">
        <v>110.999158469924</v>
      </c>
      <c r="J27">
        <v>0.64405058002697002</v>
      </c>
      <c r="K27" s="3">
        <v>26991.984379100901</v>
      </c>
      <c r="L27">
        <v>111.953280420393</v>
      </c>
      <c r="M27">
        <v>0.74292240424272304</v>
      </c>
      <c r="N27" s="3">
        <v>31620.572624578399</v>
      </c>
      <c r="O27">
        <v>159.30897274045799</v>
      </c>
      <c r="P27">
        <v>0.664307561860905</v>
      </c>
      <c r="R27" s="4" t="s">
        <v>72</v>
      </c>
    </row>
    <row r="28" spans="1:18" x14ac:dyDescent="0.2">
      <c r="A28">
        <v>827</v>
      </c>
      <c r="B28" s="3">
        <v>77373.313435576696</v>
      </c>
      <c r="C28">
        <v>111.49991750717101</v>
      </c>
      <c r="D28">
        <v>1.1973231820282599</v>
      </c>
      <c r="E28" s="3">
        <v>82190.067771210102</v>
      </c>
      <c r="F28">
        <v>103.70931982881601</v>
      </c>
      <c r="G28">
        <v>1.34332111269333</v>
      </c>
      <c r="H28" s="3">
        <v>73041.498965288803</v>
      </c>
      <c r="I28">
        <v>94.873567191766796</v>
      </c>
      <c r="J28">
        <v>1.06047513317911</v>
      </c>
      <c r="K28" s="3">
        <v>78835.301651603004</v>
      </c>
      <c r="L28">
        <v>103.38084000181399</v>
      </c>
      <c r="M28">
        <v>1.18155910873712</v>
      </c>
      <c r="N28" s="3">
        <v>73856.569854366098</v>
      </c>
      <c r="O28">
        <v>95.302800318364902</v>
      </c>
      <c r="P28">
        <v>1.0518891738977301</v>
      </c>
      <c r="R28" s="4" t="s">
        <v>73</v>
      </c>
    </row>
    <row r="29" spans="1:18" x14ac:dyDescent="0.2">
      <c r="A29">
        <v>838</v>
      </c>
      <c r="B29" s="3">
        <v>18946.9186940779</v>
      </c>
      <c r="C29">
        <v>145.465636253356</v>
      </c>
      <c r="D29">
        <v>1.73924146498403</v>
      </c>
      <c r="E29" s="3">
        <v>10118.810978817801</v>
      </c>
      <c r="F29">
        <v>96.573023574976304</v>
      </c>
      <c r="G29">
        <v>1.0686986186384599</v>
      </c>
      <c r="H29" s="3">
        <v>9197.9967652026608</v>
      </c>
      <c r="I29">
        <v>94.737865748864294</v>
      </c>
      <c r="J29">
        <v>0.95923315864188197</v>
      </c>
      <c r="K29" s="3">
        <v>10240.085728813299</v>
      </c>
      <c r="L29">
        <v>106.137255699764</v>
      </c>
      <c r="M29">
        <v>0.90815719303492803</v>
      </c>
      <c r="N29" s="3">
        <v>9198.5703961139607</v>
      </c>
      <c r="O29">
        <v>95.499252781793999</v>
      </c>
      <c r="P29">
        <v>0.85040180032966295</v>
      </c>
      <c r="R29" s="4" t="s">
        <v>74</v>
      </c>
    </row>
    <row r="30" spans="1:18" x14ac:dyDescent="0.2">
      <c r="A30">
        <v>876</v>
      </c>
      <c r="B30" s="3">
        <v>1663.7299961231599</v>
      </c>
      <c r="C30">
        <v>200</v>
      </c>
      <c r="D30">
        <v>0.32170441378364001</v>
      </c>
      <c r="E30" s="3">
        <v>1937.40167626628</v>
      </c>
      <c r="F30">
        <v>200</v>
      </c>
      <c r="G30">
        <v>0.37462249153620603</v>
      </c>
      <c r="H30" s="3">
        <v>2723.08</v>
      </c>
      <c r="I30">
        <v>200</v>
      </c>
      <c r="J30">
        <v>0.52654388955540499</v>
      </c>
      <c r="K30" s="3">
        <v>2755.9400594788199</v>
      </c>
      <c r="L30">
        <v>200</v>
      </c>
      <c r="M30">
        <v>0.532897820959918</v>
      </c>
      <c r="N30" s="3">
        <v>206.53593444824199</v>
      </c>
      <c r="O30">
        <v>200</v>
      </c>
      <c r="P30">
        <v>3.9936481578704101E-2</v>
      </c>
    </row>
    <row r="31" spans="1:18" x14ac:dyDescent="0.2">
      <c r="A31">
        <v>877</v>
      </c>
      <c r="B31" s="3">
        <v>2941.6760528650998</v>
      </c>
      <c r="C31">
        <v>184.04695987701399</v>
      </c>
      <c r="D31">
        <v>0.82976567779034704</v>
      </c>
      <c r="E31" s="3">
        <v>1979.0465472251301</v>
      </c>
      <c r="F31">
        <v>166.113674015681</v>
      </c>
      <c r="G31">
        <v>0.497582408090738</v>
      </c>
      <c r="H31" s="3">
        <v>2087.8168013652298</v>
      </c>
      <c r="I31">
        <v>173.64878556565199</v>
      </c>
      <c r="J31">
        <v>0.64628180737343399</v>
      </c>
      <c r="K31" s="3">
        <v>2010.3854210148199</v>
      </c>
      <c r="L31">
        <v>173.764563165243</v>
      </c>
      <c r="M31">
        <v>0.68097074700202098</v>
      </c>
      <c r="N31" s="3">
        <v>1954.5133405562101</v>
      </c>
      <c r="O31">
        <v>168.6016079513</v>
      </c>
      <c r="P31">
        <v>0.49608760970766802</v>
      </c>
    </row>
    <row r="32" spans="1:18" x14ac:dyDescent="0.2">
      <c r="A32">
        <v>888</v>
      </c>
      <c r="B32" s="3">
        <v>7516.4712465358298</v>
      </c>
      <c r="C32">
        <v>118.092131614685</v>
      </c>
      <c r="D32">
        <v>0.72205277535659196</v>
      </c>
      <c r="E32" s="3">
        <v>5036.2184129450998</v>
      </c>
      <c r="F32">
        <v>96.403316844402696</v>
      </c>
      <c r="G32">
        <v>0.54947203951392798</v>
      </c>
      <c r="H32" s="3">
        <v>5226.5988671544301</v>
      </c>
      <c r="I32">
        <v>96.2529208258956</v>
      </c>
      <c r="J32">
        <v>0.55236786803190496</v>
      </c>
      <c r="K32" s="3">
        <v>5275.5755979651904</v>
      </c>
      <c r="L32">
        <v>97.273683251091398</v>
      </c>
      <c r="M32">
        <v>0.60371737217006904</v>
      </c>
      <c r="N32" s="3">
        <v>5031.53401624245</v>
      </c>
      <c r="O32">
        <v>90.363584628564396</v>
      </c>
      <c r="P32">
        <v>0.44914723735405399</v>
      </c>
    </row>
    <row r="33" spans="1:16" x14ac:dyDescent="0.2">
      <c r="A33">
        <v>890</v>
      </c>
      <c r="B33" s="3">
        <v>9050.45280635173</v>
      </c>
      <c r="C33">
        <v>70.926690101623507</v>
      </c>
      <c r="D33">
        <v>0.73072961314456397</v>
      </c>
      <c r="E33" s="3">
        <v>6860.7628469527199</v>
      </c>
      <c r="F33">
        <v>62.753118508957797</v>
      </c>
      <c r="G33">
        <v>0.48869321768125001</v>
      </c>
      <c r="H33" s="3">
        <v>6155.79885344579</v>
      </c>
      <c r="I33">
        <v>54.0822149660479</v>
      </c>
      <c r="J33">
        <v>0.47642660270899501</v>
      </c>
      <c r="K33" s="3">
        <v>8002.8052089958001</v>
      </c>
      <c r="L33">
        <v>62.354499898399801</v>
      </c>
      <c r="M33">
        <v>0.57733920981689102</v>
      </c>
      <c r="N33" s="3">
        <v>7994.2270067994996</v>
      </c>
      <c r="O33">
        <v>60.126146998895997</v>
      </c>
      <c r="P33">
        <v>0.57134705647377304</v>
      </c>
    </row>
    <row r="34" spans="1:16" ht="46" customHeight="1" x14ac:dyDescent="0.2">
      <c r="A34" s="2" t="s">
        <v>81</v>
      </c>
      <c r="B34" s="3">
        <f>AVERAGE(B2:B33)</f>
        <v>29739.599525505007</v>
      </c>
      <c r="C34" s="3">
        <f t="shared" ref="C34:P34" si="0">AVERAGE(C2:C33)</f>
        <v>136.53890024870591</v>
      </c>
      <c r="D34" s="3">
        <f t="shared" si="0"/>
        <v>0.97413462738485446</v>
      </c>
      <c r="E34" s="3">
        <f t="shared" si="0"/>
        <v>21756.51288526904</v>
      </c>
      <c r="F34" s="3">
        <f t="shared" si="0"/>
        <v>122.5762731622614</v>
      </c>
      <c r="G34" s="3">
        <f t="shared" si="0"/>
        <v>0.73957392432502678</v>
      </c>
      <c r="H34" s="3">
        <f t="shared" si="0"/>
        <v>20023.346027303462</v>
      </c>
      <c r="I34" s="3">
        <f t="shared" si="0"/>
        <v>123.55275098206133</v>
      </c>
      <c r="J34" s="3">
        <f t="shared" si="0"/>
        <v>0.74780842339161069</v>
      </c>
      <c r="K34" s="3">
        <f t="shared" si="0"/>
        <v>22272.464589733634</v>
      </c>
      <c r="L34" s="3">
        <f t="shared" si="0"/>
        <v>124.92178602687704</v>
      </c>
      <c r="M34" s="3">
        <f t="shared" si="0"/>
        <v>0.83536943213098491</v>
      </c>
      <c r="N34" s="3">
        <f t="shared" si="0"/>
        <v>21342.489276399981</v>
      </c>
      <c r="O34" s="3">
        <f t="shared" si="0"/>
        <v>129.28140085879164</v>
      </c>
      <c r="P34" s="3">
        <f t="shared" si="0"/>
        <v>0.6799717175318013</v>
      </c>
    </row>
    <row r="38" spans="1:16" x14ac:dyDescent="0.2">
      <c r="A38" t="s">
        <v>89</v>
      </c>
    </row>
    <row r="39" spans="1:16" ht="51" x14ac:dyDescent="0.2">
      <c r="A39" s="1" t="s">
        <v>0</v>
      </c>
      <c r="B39" s="2" t="s">
        <v>1</v>
      </c>
      <c r="C39" s="1" t="s">
        <v>2</v>
      </c>
      <c r="D39" s="1" t="s">
        <v>3</v>
      </c>
      <c r="E39" s="2" t="s">
        <v>4</v>
      </c>
      <c r="F39" s="1" t="s">
        <v>5</v>
      </c>
      <c r="G39" s="1" t="s">
        <v>6</v>
      </c>
      <c r="H39" s="2" t="s">
        <v>7</v>
      </c>
      <c r="I39" s="1" t="s">
        <v>8</v>
      </c>
      <c r="J39" s="1" t="s">
        <v>9</v>
      </c>
      <c r="K39" s="2" t="s">
        <v>10</v>
      </c>
      <c r="L39" s="1" t="s">
        <v>11</v>
      </c>
      <c r="M39" s="1" t="s">
        <v>12</v>
      </c>
      <c r="N39" s="2" t="s">
        <v>13</v>
      </c>
      <c r="O39" s="1" t="s">
        <v>14</v>
      </c>
      <c r="P39" s="1" t="s">
        <v>15</v>
      </c>
    </row>
    <row r="40" spans="1:16" x14ac:dyDescent="0.2">
      <c r="A40">
        <v>47</v>
      </c>
      <c r="B40" s="3">
        <f>B2/MIN($B2,$E2,$H2,$K2,$N2)</f>
        <v>1.5180402444776528</v>
      </c>
      <c r="C40" s="5">
        <f>C2</f>
        <v>121.193802356719</v>
      </c>
      <c r="D40" s="5">
        <f>D2</f>
        <v>0.48105390711651302</v>
      </c>
      <c r="E40" s="3">
        <f>E2/MIN($B2,$E2,$H2,$K2,$N2)</f>
        <v>1.592346607825682</v>
      </c>
      <c r="F40" s="5">
        <f>F2</f>
        <v>124.46870657701101</v>
      </c>
      <c r="G40" s="5">
        <f>G2</f>
        <v>0.59550928053681895</v>
      </c>
      <c r="H40" s="3">
        <f>H2/MIN($B2,$E2,$H2,$K2,$N2)</f>
        <v>1.5769811058700742</v>
      </c>
      <c r="I40" s="5">
        <f>I2</f>
        <v>131.79231367019</v>
      </c>
      <c r="J40" s="5">
        <f>J2</f>
        <v>0.63584054954250102</v>
      </c>
      <c r="K40" s="3">
        <f>K2/MIN($B2,$E2,$H2,$K2,$N2)</f>
        <v>1.9372487799388936</v>
      </c>
      <c r="L40" s="5">
        <f>L2</f>
        <v>131.87642040966401</v>
      </c>
      <c r="M40" s="5">
        <f>M2</f>
        <v>0.81354759431433299</v>
      </c>
      <c r="N40" s="3">
        <f>N2/MIN($B2,$E2,$H2,$K2,$N2)</f>
        <v>1</v>
      </c>
      <c r="O40" s="5">
        <f>O2</f>
        <v>117.09879572960899</v>
      </c>
      <c r="P40" s="5">
        <f>P2</f>
        <v>0.31044353423552101</v>
      </c>
    </row>
    <row r="41" spans="1:16" x14ac:dyDescent="0.2">
      <c r="A41">
        <v>65</v>
      </c>
      <c r="B41" s="3">
        <f t="shared" ref="B41:B71" si="1">B3/MIN($B3,$E3,$H3,$K3,$N3)</f>
        <v>1.464681594012555</v>
      </c>
      <c r="C41" s="5">
        <f t="shared" ref="C41:D41" si="2">C3</f>
        <v>189.78523015975901</v>
      </c>
      <c r="D41" s="5">
        <f t="shared" si="2"/>
        <v>1.1784407702355899</v>
      </c>
      <c r="E41" s="3">
        <f t="shared" ref="E41:E71" si="3">E3/MIN($B3,$E3,$H3,$K3,$N3)</f>
        <v>1.0669379972960265</v>
      </c>
      <c r="F41" s="5">
        <f t="shared" ref="F41:G41" si="4">F3</f>
        <v>179.19803551747</v>
      </c>
      <c r="G41" s="5">
        <f t="shared" si="4"/>
        <v>0.99346582017927998</v>
      </c>
      <c r="H41" s="3">
        <f t="shared" ref="H41:H71" si="5">H3/MIN($B3,$E3,$H3,$K3,$N3)</f>
        <v>1</v>
      </c>
      <c r="I41" s="5">
        <f t="shared" ref="I41:J41" si="6">I3</f>
        <v>171.238456543339</v>
      </c>
      <c r="J41" s="5">
        <f t="shared" si="6"/>
        <v>0.92597904266196496</v>
      </c>
      <c r="K41" s="3">
        <f t="shared" ref="K41:K71" si="7">K3/MIN($B3,$E3,$H3,$K3,$N3)</f>
        <v>1.0240092044831308</v>
      </c>
      <c r="L41" s="5">
        <f t="shared" ref="L41:M41" si="8">L3</f>
        <v>172.52319469246299</v>
      </c>
      <c r="M41" s="5">
        <f t="shared" si="8"/>
        <v>1.1170774106336601</v>
      </c>
      <c r="N41" s="3">
        <f t="shared" ref="N41:N71" si="9">N3/MIN($B3,$E3,$H3,$K3,$N3)</f>
        <v>1.0160597232191537</v>
      </c>
      <c r="O41" s="5">
        <f t="shared" ref="O41:P41" si="10">O3</f>
        <v>177.192392433793</v>
      </c>
      <c r="P41" s="5">
        <f t="shared" si="10"/>
        <v>0.86889094725861205</v>
      </c>
    </row>
    <row r="42" spans="1:16" x14ac:dyDescent="0.2">
      <c r="A42">
        <v>98</v>
      </c>
      <c r="B42" s="3">
        <f t="shared" si="1"/>
        <v>3.3007140569452065</v>
      </c>
      <c r="C42" s="5">
        <f t="shared" ref="C42:D42" si="11">C4</f>
        <v>198.28226566314601</v>
      </c>
      <c r="D42" s="5">
        <f t="shared" si="11"/>
        <v>0.78271266323230004</v>
      </c>
      <c r="E42" s="3">
        <f t="shared" si="3"/>
        <v>1.2560519556668721</v>
      </c>
      <c r="F42" s="5">
        <f t="shared" ref="F42:G42" si="12">F4</f>
        <v>198.655282308875</v>
      </c>
      <c r="G42" s="5">
        <f t="shared" si="12"/>
        <v>0.34840919764515299</v>
      </c>
      <c r="H42" s="3">
        <f t="shared" si="5"/>
        <v>2.6005879904631599</v>
      </c>
      <c r="I42" s="5">
        <f t="shared" ref="I42:J42" si="13">I4</f>
        <v>194.32545974594399</v>
      </c>
      <c r="J42" s="5">
        <f t="shared" si="13"/>
        <v>0.846981166032303</v>
      </c>
      <c r="K42" s="3">
        <f t="shared" si="7"/>
        <v>2.8732039567615626</v>
      </c>
      <c r="L42" s="5">
        <f t="shared" ref="L42:M42" si="14">L4</f>
        <v>194.184810558842</v>
      </c>
      <c r="M42" s="5">
        <f t="shared" si="14"/>
        <v>0.93101975810621396</v>
      </c>
      <c r="N42" s="3">
        <f t="shared" si="9"/>
        <v>1</v>
      </c>
      <c r="O42" s="5">
        <f t="shared" ref="O42:P42" si="15">O4</f>
        <v>198.17354880675799</v>
      </c>
      <c r="P42" s="5">
        <f t="shared" si="15"/>
        <v>0.29286816603010402</v>
      </c>
    </row>
    <row r="43" spans="1:16" x14ac:dyDescent="0.2">
      <c r="A43">
        <v>114</v>
      </c>
      <c r="B43" s="3">
        <f t="shared" si="1"/>
        <v>1.8215051929147505</v>
      </c>
      <c r="C43" s="5">
        <f t="shared" ref="C43:D43" si="16">C5</f>
        <v>72.381448745727496</v>
      </c>
      <c r="D43" s="5">
        <f t="shared" si="16"/>
        <v>1.04437650934185</v>
      </c>
      <c r="E43" s="3">
        <f t="shared" si="3"/>
        <v>1.2891632691597434</v>
      </c>
      <c r="F43" s="5">
        <f t="shared" ref="F43:G43" si="17">F5</f>
        <v>52.295170773032503</v>
      </c>
      <c r="G43" s="5">
        <f t="shared" si="17"/>
        <v>0.6589834757659</v>
      </c>
      <c r="H43" s="3">
        <f t="shared" si="5"/>
        <v>1.075646621302067</v>
      </c>
      <c r="I43" s="5">
        <f t="shared" ref="I43:J43" si="18">I5</f>
        <v>44.917239463131203</v>
      </c>
      <c r="J43" s="5">
        <f t="shared" si="18"/>
        <v>0.57231123708796094</v>
      </c>
      <c r="K43" s="3">
        <f t="shared" si="7"/>
        <v>1</v>
      </c>
      <c r="L43" s="5">
        <f t="shared" ref="L43:M43" si="19">L5</f>
        <v>47.048566557131799</v>
      </c>
      <c r="M43" s="5">
        <f t="shared" si="19"/>
        <v>0.56375501540032902</v>
      </c>
      <c r="N43" s="3">
        <f t="shared" si="9"/>
        <v>1.3021778859538837</v>
      </c>
      <c r="O43" s="5">
        <f t="shared" ref="O43:P43" si="20">O5</f>
        <v>60.937711034113597</v>
      </c>
      <c r="P43" s="5">
        <f t="shared" si="20"/>
        <v>0.74976756183058102</v>
      </c>
    </row>
    <row r="44" spans="1:16" x14ac:dyDescent="0.2">
      <c r="A44">
        <v>123</v>
      </c>
      <c r="B44" s="3">
        <f t="shared" si="1"/>
        <v>1.1094025849077809</v>
      </c>
      <c r="C44" s="5">
        <f t="shared" ref="C44:D44" si="21">C6</f>
        <v>128.46839427947901</v>
      </c>
      <c r="D44" s="5">
        <f t="shared" si="21"/>
        <v>1.05894490143628</v>
      </c>
      <c r="E44" s="3">
        <f t="shared" si="3"/>
        <v>1.0002853816287771</v>
      </c>
      <c r="F44" s="5">
        <f t="shared" ref="F44:G44" si="22">F6</f>
        <v>121.95017267975</v>
      </c>
      <c r="G44" s="5">
        <f t="shared" si="22"/>
        <v>0.99921980378140496</v>
      </c>
      <c r="H44" s="3">
        <f t="shared" si="5"/>
        <v>1</v>
      </c>
      <c r="I44" s="5">
        <f t="shared" ref="I44:J44" si="23">I6</f>
        <v>120.290151117439</v>
      </c>
      <c r="J44" s="5">
        <f t="shared" si="23"/>
        <v>0.98175929779722604</v>
      </c>
      <c r="K44" s="3">
        <f t="shared" si="7"/>
        <v>1.0306200024621246</v>
      </c>
      <c r="L44" s="5">
        <f t="shared" ref="L44:M44" si="24">L6</f>
        <v>114.959256061215</v>
      </c>
      <c r="M44" s="5">
        <f t="shared" si="24"/>
        <v>0.93916598349397995</v>
      </c>
      <c r="N44" s="3">
        <f t="shared" si="9"/>
        <v>1.0445471957496326</v>
      </c>
      <c r="O44" s="5">
        <f t="shared" ref="O44:P44" si="25">O6</f>
        <v>127.30502853674</v>
      </c>
      <c r="P44" s="5">
        <f t="shared" si="25"/>
        <v>0.96162168534012105</v>
      </c>
    </row>
    <row r="45" spans="1:16" x14ac:dyDescent="0.2">
      <c r="A45">
        <v>168</v>
      </c>
      <c r="B45" s="3">
        <f t="shared" si="1"/>
        <v>1.0522767526821359</v>
      </c>
      <c r="C45" s="5">
        <f t="shared" ref="C45:D45" si="26">C7</f>
        <v>138.71734142303399</v>
      </c>
      <c r="D45" s="5">
        <f t="shared" si="26"/>
        <v>0.92979902142298099</v>
      </c>
      <c r="E45" s="3">
        <f t="shared" si="3"/>
        <v>1.2977363183249553</v>
      </c>
      <c r="F45" s="5">
        <f t="shared" ref="F45:G45" si="27">F7</f>
        <v>139.36390958595899</v>
      </c>
      <c r="G45" s="5">
        <f t="shared" si="27"/>
        <v>1.3221926509023001</v>
      </c>
      <c r="H45" s="3">
        <f t="shared" si="5"/>
        <v>1.0796902477959667</v>
      </c>
      <c r="I45" s="5">
        <f t="shared" ref="I45:J45" si="28">I7</f>
        <v>126.89677641740001</v>
      </c>
      <c r="J45" s="5">
        <f t="shared" si="28"/>
        <v>0.98545513830667697</v>
      </c>
      <c r="K45" s="3">
        <f t="shared" si="7"/>
        <v>1</v>
      </c>
      <c r="L45" s="5">
        <f t="shared" ref="L45:M45" si="29">L7</f>
        <v>130.00265515824401</v>
      </c>
      <c r="M45" s="5">
        <f t="shared" si="29"/>
        <v>1.08330954892436</v>
      </c>
      <c r="N45" s="3">
        <f t="shared" si="9"/>
        <v>1.1432279272790413</v>
      </c>
      <c r="O45" s="5">
        <f t="shared" ref="O45:P45" si="30">O7</f>
        <v>131.39674413071</v>
      </c>
      <c r="P45" s="5">
        <f t="shared" si="30"/>
        <v>1.0692733826262399</v>
      </c>
    </row>
    <row r="46" spans="1:16" x14ac:dyDescent="0.2">
      <c r="A46">
        <v>172</v>
      </c>
      <c r="B46" s="3">
        <f t="shared" si="1"/>
        <v>1.4981060586853892</v>
      </c>
      <c r="C46" s="5">
        <f t="shared" ref="C46:D46" si="31">C8</f>
        <v>120.954167842865</v>
      </c>
      <c r="D46" s="5">
        <f t="shared" si="31"/>
        <v>0.85254792463440798</v>
      </c>
      <c r="E46" s="3">
        <f t="shared" si="3"/>
        <v>1.0817972256618249</v>
      </c>
      <c r="F46" s="5">
        <f t="shared" ref="F46:G46" si="32">F8</f>
        <v>122.744314063288</v>
      </c>
      <c r="G46" s="5">
        <f t="shared" si="32"/>
        <v>0.78170999555890597</v>
      </c>
      <c r="H46" s="3">
        <f t="shared" si="5"/>
        <v>1.0352241962995636</v>
      </c>
      <c r="I46" s="5">
        <f t="shared" ref="I46:J46" si="33">I8</f>
        <v>122.000014713041</v>
      </c>
      <c r="J46" s="5">
        <f t="shared" si="33"/>
        <v>0.76368091651144798</v>
      </c>
      <c r="K46" s="3">
        <f t="shared" si="7"/>
        <v>1.4086100317555532</v>
      </c>
      <c r="L46" s="5">
        <f t="shared" ref="L46:M46" si="34">L8</f>
        <v>133.345210184758</v>
      </c>
      <c r="M46" s="5">
        <f t="shared" si="34"/>
        <v>1.1711535465429099</v>
      </c>
      <c r="N46" s="3">
        <f t="shared" si="9"/>
        <v>1</v>
      </c>
      <c r="O46" s="5">
        <f t="shared" ref="O46:P46" si="35">O8</f>
        <v>121.408935612194</v>
      </c>
      <c r="P46" s="5">
        <f t="shared" si="35"/>
        <v>0.73032436466545902</v>
      </c>
    </row>
    <row r="47" spans="1:16" x14ac:dyDescent="0.2">
      <c r="A47">
        <v>185</v>
      </c>
      <c r="B47" s="3">
        <f t="shared" si="1"/>
        <v>1.0378601872003599</v>
      </c>
      <c r="C47" s="5">
        <f t="shared" ref="C47:D47" si="36">C9</f>
        <v>111.213707923889</v>
      </c>
      <c r="D47" s="5">
        <f t="shared" si="36"/>
        <v>0.89323661014570999</v>
      </c>
      <c r="E47" s="3">
        <f t="shared" si="3"/>
        <v>1.0799169903181294</v>
      </c>
      <c r="F47" s="5">
        <f t="shared" ref="F47:G47" si="37">F9</f>
        <v>97.700367494684201</v>
      </c>
      <c r="G47" s="5">
        <f t="shared" si="37"/>
        <v>0.85835183006424198</v>
      </c>
      <c r="H47" s="3">
        <f t="shared" si="5"/>
        <v>1.0868152865260292</v>
      </c>
      <c r="I47" s="5">
        <f t="shared" ref="I47:J47" si="38">I9</f>
        <v>97.822552392920997</v>
      </c>
      <c r="J47" s="5">
        <f t="shared" si="38"/>
        <v>0.86970239796609505</v>
      </c>
      <c r="K47" s="3">
        <f t="shared" si="7"/>
        <v>1</v>
      </c>
      <c r="L47" s="5">
        <f t="shared" ref="L47:M47" si="39">L9</f>
        <v>95.965885304685003</v>
      </c>
      <c r="M47" s="5">
        <f t="shared" si="39"/>
        <v>0.74601509079938799</v>
      </c>
      <c r="N47" s="3">
        <f t="shared" si="9"/>
        <v>1.1293042984998087</v>
      </c>
      <c r="O47" s="5">
        <f t="shared" ref="O47:P47" si="40">O9</f>
        <v>125.260383955354</v>
      </c>
      <c r="P47" s="5">
        <f t="shared" si="40"/>
        <v>0.89259996616564996</v>
      </c>
    </row>
    <row r="48" spans="1:16" x14ac:dyDescent="0.2">
      <c r="A48">
        <v>195</v>
      </c>
      <c r="B48" s="3">
        <f t="shared" si="1"/>
        <v>1.3266256091698336</v>
      </c>
      <c r="C48" s="5">
        <f t="shared" ref="C48:D48" si="41">C10</f>
        <v>100.575041770935</v>
      </c>
      <c r="D48" s="5">
        <f t="shared" si="41"/>
        <v>0.74239112459921397</v>
      </c>
      <c r="E48" s="3">
        <f t="shared" si="3"/>
        <v>1.0210592179323255</v>
      </c>
      <c r="F48" s="5">
        <f t="shared" ref="F48:G48" si="42">F10</f>
        <v>90.783409211563495</v>
      </c>
      <c r="G48" s="5">
        <f t="shared" si="42"/>
        <v>0.52772235836524095</v>
      </c>
      <c r="H48" s="3">
        <f t="shared" si="5"/>
        <v>1</v>
      </c>
      <c r="I48" s="5">
        <f t="shared" ref="I48:J48" si="43">I10</f>
        <v>88.674070994120697</v>
      </c>
      <c r="J48" s="5">
        <f t="shared" si="43"/>
        <v>0.50330362572045195</v>
      </c>
      <c r="K48" s="3">
        <f t="shared" si="7"/>
        <v>1.3441565673573079</v>
      </c>
      <c r="L48" s="5">
        <f t="shared" ref="L48:M48" si="44">L10</f>
        <v>102.745520019061</v>
      </c>
      <c r="M48" s="5">
        <f t="shared" si="44"/>
        <v>0.78172880303729897</v>
      </c>
      <c r="N48" s="3">
        <f t="shared" si="9"/>
        <v>1.1882625987947155</v>
      </c>
      <c r="O48" s="5">
        <f t="shared" ref="O48:P48" si="45">O10</f>
        <v>102.60972843491101</v>
      </c>
      <c r="P48" s="5">
        <f t="shared" si="45"/>
        <v>0.53710987235088103</v>
      </c>
    </row>
    <row r="49" spans="1:16" x14ac:dyDescent="0.2">
      <c r="A49">
        <v>197</v>
      </c>
      <c r="B49" s="3">
        <f t="shared" si="1"/>
        <v>1.0405474021520946</v>
      </c>
      <c r="C49" s="5">
        <f t="shared" ref="C49:D49" si="46">C11</f>
        <v>149.86077547073299</v>
      </c>
      <c r="D49" s="5">
        <f t="shared" si="46"/>
        <v>0.91799510660457395</v>
      </c>
      <c r="E49" s="3">
        <f t="shared" si="3"/>
        <v>1.046254624175702</v>
      </c>
      <c r="F49" s="5">
        <f t="shared" ref="F49:G49" si="47">F11</f>
        <v>139.818165296465</v>
      </c>
      <c r="G49" s="5">
        <f t="shared" si="47"/>
        <v>0.83446832872863996</v>
      </c>
      <c r="H49" s="3">
        <f t="shared" si="5"/>
        <v>1</v>
      </c>
      <c r="I49" s="5">
        <f t="shared" ref="I49:J49" si="48">I11</f>
        <v>142.06904381532499</v>
      </c>
      <c r="J49" s="5">
        <f t="shared" si="48"/>
        <v>0.85979989564402104</v>
      </c>
      <c r="K49" s="3">
        <f t="shared" si="7"/>
        <v>1.0091451207027169</v>
      </c>
      <c r="L49" s="5">
        <f t="shared" ref="L49:M49" si="49">L11</f>
        <v>141.913581286214</v>
      </c>
      <c r="M49" s="5">
        <f t="shared" si="49"/>
        <v>0.755631519160471</v>
      </c>
      <c r="N49" s="3">
        <f t="shared" si="9"/>
        <v>1.0302069279017154</v>
      </c>
      <c r="O49" s="5">
        <f t="shared" ref="O49:P49" si="50">O11</f>
        <v>136.44381453273499</v>
      </c>
      <c r="P49" s="5">
        <f t="shared" si="50"/>
        <v>0.73695267449605195</v>
      </c>
    </row>
    <row r="50" spans="1:16" x14ac:dyDescent="0.2">
      <c r="A50">
        <v>237</v>
      </c>
      <c r="B50" s="3">
        <f t="shared" si="1"/>
        <v>1.6679507753059877</v>
      </c>
      <c r="C50" s="5">
        <f t="shared" ref="C50:D50" si="51">C12</f>
        <v>154.110062122344</v>
      </c>
      <c r="D50" s="5">
        <f t="shared" si="51"/>
        <v>1.05814849175846</v>
      </c>
      <c r="E50" s="3">
        <f t="shared" si="3"/>
        <v>1.1876632903341791</v>
      </c>
      <c r="F50" s="5">
        <f t="shared" ref="F50:G50" si="52">F12</f>
        <v>125.235767098729</v>
      </c>
      <c r="G50" s="5">
        <f t="shared" si="52"/>
        <v>0.54339941350544196</v>
      </c>
      <c r="H50" s="3">
        <f t="shared" si="5"/>
        <v>1</v>
      </c>
      <c r="I50" s="5">
        <f t="shared" ref="I50:J50" si="53">I12</f>
        <v>121.193922196834</v>
      </c>
      <c r="J50" s="5">
        <f t="shared" si="53"/>
        <v>0.57202243553013898</v>
      </c>
      <c r="K50" s="3">
        <f t="shared" si="7"/>
        <v>1.1041421177851525</v>
      </c>
      <c r="L50" s="5">
        <f t="shared" ref="L50:M50" si="54">L12</f>
        <v>117.823535196248</v>
      </c>
      <c r="M50" s="5">
        <f t="shared" si="54"/>
        <v>0.60021267757549501</v>
      </c>
      <c r="N50" s="3">
        <f t="shared" si="9"/>
        <v>1.0695887503762969</v>
      </c>
      <c r="O50" s="5">
        <f t="shared" ref="O50:P50" si="55">O12</f>
        <v>109.65047786636801</v>
      </c>
      <c r="P50" s="5">
        <f t="shared" si="55"/>
        <v>0.49935110970154001</v>
      </c>
    </row>
    <row r="51" spans="1:16" x14ac:dyDescent="0.2">
      <c r="A51">
        <v>272</v>
      </c>
      <c r="B51" s="3">
        <f t="shared" si="1"/>
        <v>1.6161856212816921</v>
      </c>
      <c r="C51" s="5">
        <f t="shared" ref="C51:D51" si="56">C13</f>
        <v>169.60082054138101</v>
      </c>
      <c r="D51" s="5">
        <f t="shared" si="56"/>
        <v>1.29196188971335</v>
      </c>
      <c r="E51" s="3">
        <f t="shared" si="3"/>
        <v>1.0258133312408437</v>
      </c>
      <c r="F51" s="5">
        <f t="shared" ref="F51:G51" si="57">F13</f>
        <v>145.14119736861201</v>
      </c>
      <c r="G51" s="5">
        <f t="shared" si="57"/>
        <v>0.84864270259796903</v>
      </c>
      <c r="H51" s="3">
        <f t="shared" si="5"/>
        <v>1</v>
      </c>
      <c r="I51" s="5">
        <f t="shared" ref="I51:J51" si="58">I13</f>
        <v>140.81716112589299</v>
      </c>
      <c r="J51" s="5">
        <f t="shared" si="58"/>
        <v>0.724130082127309</v>
      </c>
      <c r="K51" s="3">
        <f t="shared" si="7"/>
        <v>1.2501601428536875</v>
      </c>
      <c r="L51" s="5">
        <f t="shared" ref="L51:M51" si="59">L13</f>
        <v>152.13569530817699</v>
      </c>
      <c r="M51" s="5">
        <f t="shared" si="59"/>
        <v>1.14483114948811</v>
      </c>
      <c r="N51" s="3">
        <f t="shared" si="9"/>
        <v>1.0663491793565931</v>
      </c>
      <c r="O51" s="5">
        <f t="shared" ref="O51:P51" si="60">O13</f>
        <v>152.809626898017</v>
      </c>
      <c r="P51" s="5">
        <f t="shared" si="60"/>
        <v>0.65215507155297503</v>
      </c>
    </row>
    <row r="52" spans="1:16" x14ac:dyDescent="0.2">
      <c r="A52">
        <v>279</v>
      </c>
      <c r="B52" s="3">
        <f t="shared" si="1"/>
        <v>1.6533413745670835</v>
      </c>
      <c r="C52" s="5">
        <f t="shared" ref="C52:D52" si="61">C14</f>
        <v>117.45172739028899</v>
      </c>
      <c r="D52" s="5">
        <f t="shared" si="61"/>
        <v>0.74271764102673499</v>
      </c>
      <c r="E52" s="3">
        <f t="shared" si="3"/>
        <v>1.0348344107680691</v>
      </c>
      <c r="F52" s="5">
        <f t="shared" ref="F52:G52" si="62">F14</f>
        <v>91.364041413681093</v>
      </c>
      <c r="G52" s="5">
        <f t="shared" si="62"/>
        <v>0.57707656543660402</v>
      </c>
      <c r="H52" s="3">
        <f t="shared" si="5"/>
        <v>1</v>
      </c>
      <c r="I52" s="5">
        <f t="shared" ref="I52:J52" si="63">I14</f>
        <v>99.713112984346196</v>
      </c>
      <c r="J52" s="5">
        <f t="shared" si="63"/>
        <v>0.55223325096248799</v>
      </c>
      <c r="K52" s="3">
        <f t="shared" si="7"/>
        <v>1.568928036691313</v>
      </c>
      <c r="L52" s="5">
        <f t="shared" ref="L52:M52" si="64">L14</f>
        <v>111.674742831465</v>
      </c>
      <c r="M52" s="5">
        <f t="shared" si="64"/>
        <v>0.82753695747354195</v>
      </c>
      <c r="N52" s="3">
        <f t="shared" si="9"/>
        <v>1.2379615221088907</v>
      </c>
      <c r="O52" s="5">
        <f t="shared" ref="O52:P52" si="65">O14</f>
        <v>85.337321041895095</v>
      </c>
      <c r="P52" s="5">
        <f t="shared" si="65"/>
        <v>0.52544311919544096</v>
      </c>
    </row>
    <row r="53" spans="1:16" x14ac:dyDescent="0.2">
      <c r="A53">
        <v>709</v>
      </c>
      <c r="B53" s="3">
        <f t="shared" si="1"/>
        <v>2.402409900871926</v>
      </c>
      <c r="C53" s="5">
        <f t="shared" ref="C53:D53" si="66">C15</f>
        <v>137.833297252655</v>
      </c>
      <c r="D53" s="5">
        <f t="shared" si="66"/>
        <v>3.5006196016164101E-2</v>
      </c>
      <c r="E53" s="3">
        <f t="shared" si="3"/>
        <v>1.1272936191779632</v>
      </c>
      <c r="F53" s="5">
        <f t="shared" ref="F53:G53" si="67">F15</f>
        <v>183.67090019803399</v>
      </c>
      <c r="G53" s="5">
        <f t="shared" si="67"/>
        <v>1.2730766131148199E-2</v>
      </c>
      <c r="H53" s="3">
        <f t="shared" si="5"/>
        <v>1.7389355394556341</v>
      </c>
      <c r="I53" s="5">
        <f t="shared" ref="I53:J53" si="68">I15</f>
        <v>175.22883018883101</v>
      </c>
      <c r="J53" s="5">
        <f t="shared" si="68"/>
        <v>2.7689198084264299E-2</v>
      </c>
      <c r="K53" s="3">
        <f t="shared" si="7"/>
        <v>1</v>
      </c>
      <c r="L53" s="5">
        <f t="shared" ref="L53:M53" si="69">L15</f>
        <v>132.81700254382901</v>
      </c>
      <c r="M53" s="5">
        <f t="shared" si="69"/>
        <v>1.1931528559529199E-2</v>
      </c>
      <c r="N53" s="3">
        <f t="shared" si="9"/>
        <v>1.1048856022503286</v>
      </c>
      <c r="O53" s="5">
        <f t="shared" ref="O53:P53" si="70">O15</f>
        <v>180.68405872608099</v>
      </c>
      <c r="P53" s="5">
        <f t="shared" si="70"/>
        <v>1.2212174836587901E-2</v>
      </c>
    </row>
    <row r="54" spans="1:16" x14ac:dyDescent="0.2">
      <c r="A54">
        <v>712</v>
      </c>
      <c r="B54" s="3">
        <f t="shared" si="1"/>
        <v>1.8184654858548783</v>
      </c>
      <c r="C54" s="5">
        <f t="shared" ref="C54:D54" si="71">C16</f>
        <v>156.34437799453701</v>
      </c>
      <c r="D54" s="5">
        <f t="shared" si="71"/>
        <v>0.90472977815007405</v>
      </c>
      <c r="E54" s="3">
        <f t="shared" si="3"/>
        <v>1.0824940560477774</v>
      </c>
      <c r="F54" s="5">
        <f t="shared" ref="F54:G54" si="72">F16</f>
        <v>129.52510133865599</v>
      </c>
      <c r="G54" s="5">
        <f t="shared" si="72"/>
        <v>0.66111218449446796</v>
      </c>
      <c r="H54" s="3">
        <f t="shared" si="5"/>
        <v>1</v>
      </c>
      <c r="I54" s="5">
        <f t="shared" ref="I54:J54" si="73">I16</f>
        <v>130.91670361805299</v>
      </c>
      <c r="J54" s="5">
        <f t="shared" si="73"/>
        <v>0.59758278767585005</v>
      </c>
      <c r="K54" s="3">
        <f t="shared" si="7"/>
        <v>1.376395424583269</v>
      </c>
      <c r="L54" s="5">
        <f t="shared" ref="L54:M54" si="74">L16</f>
        <v>137.379126388717</v>
      </c>
      <c r="M54" s="5">
        <f t="shared" si="74"/>
        <v>1.0376833699947901</v>
      </c>
      <c r="N54" s="3">
        <f t="shared" si="9"/>
        <v>1.1646477937110913</v>
      </c>
      <c r="O54" s="5">
        <f t="shared" ref="O54:P54" si="75">O16</f>
        <v>137.20891794406501</v>
      </c>
      <c r="P54" s="5">
        <f t="shared" si="75"/>
        <v>0.72712172171238298</v>
      </c>
    </row>
    <row r="55" spans="1:16" x14ac:dyDescent="0.2">
      <c r="A55">
        <v>714</v>
      </c>
      <c r="B55" s="3">
        <f t="shared" si="1"/>
        <v>3.4835676582695978</v>
      </c>
      <c r="C55" s="5">
        <f t="shared" ref="C55:D55" si="76">C17</f>
        <v>174.325990676879</v>
      </c>
      <c r="D55" s="5">
        <f t="shared" si="76"/>
        <v>0.80615694677902905</v>
      </c>
      <c r="E55" s="3">
        <f t="shared" si="3"/>
        <v>1</v>
      </c>
      <c r="F55" s="5">
        <f t="shared" ref="F55:G55" si="77">F17</f>
        <v>115.85790890621099</v>
      </c>
      <c r="G55" s="5">
        <f t="shared" si="77"/>
        <v>0.27313364596908402</v>
      </c>
      <c r="H55" s="3">
        <f t="shared" si="5"/>
        <v>2.0847027715676263</v>
      </c>
      <c r="I55" s="5">
        <f t="shared" ref="I55:J55" si="78">I17</f>
        <v>154.22369676610001</v>
      </c>
      <c r="J55" s="5">
        <f t="shared" si="78"/>
        <v>0.55482219267255695</v>
      </c>
      <c r="K55" s="3">
        <f t="shared" si="7"/>
        <v>1.2379563105968869</v>
      </c>
      <c r="L55" s="5">
        <f t="shared" ref="L55:M55" si="79">L17</f>
        <v>167.77015951085201</v>
      </c>
      <c r="M55" s="5">
        <f t="shared" si="79"/>
        <v>0.31786704080146799</v>
      </c>
      <c r="N55" s="3">
        <f t="shared" si="9"/>
        <v>1.2421637133069297</v>
      </c>
      <c r="O55" s="5">
        <f t="shared" ref="O55:P55" si="80">O17</f>
        <v>172.49899617092601</v>
      </c>
      <c r="P55" s="5">
        <f t="shared" si="80"/>
        <v>0.30722560806086702</v>
      </c>
    </row>
    <row r="56" spans="1:16" x14ac:dyDescent="0.2">
      <c r="A56">
        <v>722</v>
      </c>
      <c r="B56" s="3">
        <f t="shared" si="1"/>
        <v>1.7142768715005117</v>
      </c>
      <c r="C56" s="5">
        <f t="shared" ref="C56:D56" si="81">C18</f>
        <v>119.25379037857</v>
      </c>
      <c r="D56" s="5">
        <f t="shared" si="81"/>
        <v>1.0750944638633999</v>
      </c>
      <c r="E56" s="3">
        <f t="shared" si="3"/>
        <v>1.1830619922114558</v>
      </c>
      <c r="F56" s="5">
        <f t="shared" ref="F56:G56" si="82">F18</f>
        <v>119.58094322038301</v>
      </c>
      <c r="G56" s="5">
        <f t="shared" si="82"/>
        <v>0.83321798769566302</v>
      </c>
      <c r="H56" s="3">
        <f t="shared" si="5"/>
        <v>1</v>
      </c>
      <c r="I56" s="5">
        <f t="shared" ref="I56:J56" si="83">I18</f>
        <v>104.58139348937399</v>
      </c>
      <c r="J56" s="5">
        <f t="shared" si="83"/>
        <v>0.64927734367203604</v>
      </c>
      <c r="K56" s="3">
        <f t="shared" si="7"/>
        <v>1.0941901799872151</v>
      </c>
      <c r="L56" s="5">
        <f t="shared" ref="L56:M56" si="84">L18</f>
        <v>116.76679635616701</v>
      </c>
      <c r="M56" s="5">
        <f t="shared" si="84"/>
        <v>0.75703474624117095</v>
      </c>
      <c r="N56" s="3">
        <f t="shared" si="9"/>
        <v>1.0289583104285658</v>
      </c>
      <c r="O56" s="5">
        <f t="shared" ref="O56:P56" si="85">O18</f>
        <v>105.99779545762399</v>
      </c>
      <c r="P56" s="5">
        <f t="shared" si="85"/>
        <v>0.58802572342889603</v>
      </c>
    </row>
    <row r="57" spans="1:16" x14ac:dyDescent="0.2">
      <c r="A57">
        <v>724</v>
      </c>
      <c r="B57" s="3">
        <f t="shared" si="1"/>
        <v>1.3966112825733914</v>
      </c>
      <c r="C57" s="5">
        <f t="shared" ref="C57:D57" si="86">C19</f>
        <v>63.764899969100902</v>
      </c>
      <c r="D57" s="5">
        <f t="shared" si="86"/>
        <v>0.87855640485321496</v>
      </c>
      <c r="E57" s="3">
        <f t="shared" si="3"/>
        <v>1.0965631484506129</v>
      </c>
      <c r="F57" s="5">
        <f t="shared" ref="F57:G57" si="87">F19</f>
        <v>62.0953075805023</v>
      </c>
      <c r="G57" s="5">
        <f t="shared" si="87"/>
        <v>0.76970395255276502</v>
      </c>
      <c r="H57" s="3">
        <f t="shared" si="5"/>
        <v>1</v>
      </c>
      <c r="I57" s="5">
        <f t="shared" ref="I57:J57" si="88">I19</f>
        <v>58.711799653603101</v>
      </c>
      <c r="J57" s="5">
        <f t="shared" si="88"/>
        <v>0.69589338644394305</v>
      </c>
      <c r="K57" s="3">
        <f t="shared" si="7"/>
        <v>1.0300099041682005</v>
      </c>
      <c r="L57" s="5">
        <f t="shared" ref="L57:M57" si="89">L19</f>
        <v>64.636055761877799</v>
      </c>
      <c r="M57" s="5">
        <f t="shared" si="89"/>
        <v>0.73504561823816295</v>
      </c>
      <c r="N57" s="3">
        <f t="shared" si="9"/>
        <v>1.4860281360715382</v>
      </c>
      <c r="O57" s="5">
        <f t="shared" ref="O57:P57" si="90">O19</f>
        <v>103.167713503435</v>
      </c>
      <c r="P57" s="5">
        <f t="shared" si="90"/>
        <v>0.94885207257817294</v>
      </c>
    </row>
    <row r="58" spans="1:16" x14ac:dyDescent="0.2">
      <c r="A58">
        <v>749</v>
      </c>
      <c r="B58" s="3">
        <f t="shared" si="1"/>
        <v>3.4139992460389217</v>
      </c>
      <c r="C58" s="5">
        <f t="shared" ref="C58:D58" si="91">C20</f>
        <v>146.98601961135799</v>
      </c>
      <c r="D58" s="5">
        <f t="shared" si="91"/>
        <v>2.5378282228841802</v>
      </c>
      <c r="E58" s="3">
        <f t="shared" si="3"/>
        <v>1</v>
      </c>
      <c r="F58" s="5">
        <f t="shared" ref="F58:G58" si="92">F20</f>
        <v>104.79200705662301</v>
      </c>
      <c r="G58" s="5">
        <f t="shared" si="92"/>
        <v>0.67526558216079302</v>
      </c>
      <c r="H58" s="3">
        <f t="shared" si="5"/>
        <v>1.1128601513732355</v>
      </c>
      <c r="I58" s="5">
        <f t="shared" ref="I58:J58" si="93">I20</f>
        <v>126.104857397275</v>
      </c>
      <c r="J58" s="5">
        <f t="shared" si="93"/>
        <v>0.82891428811804302</v>
      </c>
      <c r="K58" s="3">
        <f t="shared" si="7"/>
        <v>1.4246698029564868</v>
      </c>
      <c r="L58" s="5">
        <f t="shared" ref="L58:M58" si="94">L20</f>
        <v>132.366771341993</v>
      </c>
      <c r="M58" s="5">
        <f t="shared" si="94"/>
        <v>1.1631672317706401</v>
      </c>
      <c r="N58" s="3">
        <f t="shared" si="9"/>
        <v>1.1369642753498934</v>
      </c>
      <c r="O58" s="5">
        <f t="shared" ref="O58:P58" si="95">O20</f>
        <v>120.522079560072</v>
      </c>
      <c r="P58" s="5">
        <f t="shared" si="95"/>
        <v>0.934494028143247</v>
      </c>
    </row>
    <row r="59" spans="1:16" x14ac:dyDescent="0.2">
      <c r="A59">
        <v>777</v>
      </c>
      <c r="B59" s="3">
        <f t="shared" si="1"/>
        <v>1.7475975641125248</v>
      </c>
      <c r="C59" s="5">
        <f t="shared" ref="C59:D59" si="96">C21</f>
        <v>150.13567209243701</v>
      </c>
      <c r="D59" s="5">
        <f t="shared" si="96"/>
        <v>1.0596948012014</v>
      </c>
      <c r="E59" s="3">
        <f t="shared" si="3"/>
        <v>1.0488240053865081</v>
      </c>
      <c r="F59" s="5">
        <f t="shared" ref="F59:G59" si="97">F21</f>
        <v>148.45549180987899</v>
      </c>
      <c r="G59" s="5">
        <f t="shared" si="97"/>
        <v>0.83128728193778301</v>
      </c>
      <c r="H59" s="3">
        <f t="shared" si="5"/>
        <v>1.2523084877384374</v>
      </c>
      <c r="I59" s="5">
        <f t="shared" ref="I59:J59" si="98">I21</f>
        <v>151.663889358685</v>
      </c>
      <c r="J59" s="5">
        <f t="shared" si="98"/>
        <v>0.97517073096164397</v>
      </c>
      <c r="K59" s="3">
        <f t="shared" si="7"/>
        <v>1.0156842043701382</v>
      </c>
      <c r="L59" s="5">
        <f t="shared" ref="L59:M59" si="99">L21</f>
        <v>150.45698173896</v>
      </c>
      <c r="M59" s="5">
        <f t="shared" si="99"/>
        <v>0.723232816465191</v>
      </c>
      <c r="N59" s="3">
        <f t="shared" si="9"/>
        <v>1</v>
      </c>
      <c r="O59" s="5">
        <f t="shared" ref="O59:P59" si="100">O21</f>
        <v>147.99062738847701</v>
      </c>
      <c r="P59" s="5">
        <f t="shared" si="100"/>
        <v>0.56779372073376499</v>
      </c>
    </row>
    <row r="60" spans="1:16" x14ac:dyDescent="0.2">
      <c r="A60">
        <v>782</v>
      </c>
      <c r="B60" s="3">
        <f t="shared" si="1"/>
        <v>1.522924396181355</v>
      </c>
      <c r="C60" s="5">
        <f t="shared" ref="C60:D60" si="101">C22</f>
        <v>149.00857210159299</v>
      </c>
      <c r="D60" s="5">
        <f t="shared" si="101"/>
        <v>1.1368095500981501</v>
      </c>
      <c r="E60" s="3">
        <f t="shared" si="3"/>
        <v>1.0377121038127479</v>
      </c>
      <c r="F60" s="5">
        <f t="shared" ref="F60:G60" si="102">F22</f>
        <v>117.390931991899</v>
      </c>
      <c r="G60" s="5">
        <f t="shared" si="102"/>
        <v>0.705667132586836</v>
      </c>
      <c r="H60" s="3">
        <f t="shared" si="5"/>
        <v>1.0798887494265288</v>
      </c>
      <c r="I60" s="5">
        <f t="shared" ref="I60:J60" si="103">I22</f>
        <v>121.29022287637601</v>
      </c>
      <c r="J60" s="5">
        <f t="shared" si="103"/>
        <v>0.81302607073592503</v>
      </c>
      <c r="K60" s="3">
        <f t="shared" si="7"/>
        <v>1</v>
      </c>
      <c r="L60" s="5">
        <f t="shared" ref="L60:M60" si="104">L22</f>
        <v>108.43210025174599</v>
      </c>
      <c r="M60" s="5">
        <f t="shared" si="104"/>
        <v>0.680501520684337</v>
      </c>
      <c r="N60" s="3">
        <f t="shared" si="9"/>
        <v>1.038170457285152</v>
      </c>
      <c r="O60" s="5">
        <f t="shared" ref="O60:P60" si="105">O22</f>
        <v>117.80096663517899</v>
      </c>
      <c r="P60" s="5">
        <f t="shared" si="105"/>
        <v>0.71363309037785505</v>
      </c>
    </row>
    <row r="61" spans="1:16" x14ac:dyDescent="0.2">
      <c r="A61">
        <v>792</v>
      </c>
      <c r="B61" s="3">
        <f t="shared" si="1"/>
        <v>1.0976453319704309</v>
      </c>
      <c r="C61" s="5">
        <f t="shared" ref="C61:D61" si="106">C23</f>
        <v>101.101124286651</v>
      </c>
      <c r="D61" s="5">
        <f t="shared" si="106"/>
        <v>0.76657210881868998</v>
      </c>
      <c r="E61" s="3">
        <f t="shared" si="3"/>
        <v>1.0039050902046354</v>
      </c>
      <c r="F61" s="5">
        <f t="shared" ref="F61:G61" si="107">F23</f>
        <v>95.898137138436098</v>
      </c>
      <c r="G61" s="5">
        <f t="shared" si="107"/>
        <v>0.84458714262376</v>
      </c>
      <c r="H61" s="3">
        <f t="shared" si="5"/>
        <v>1.0198182583624569</v>
      </c>
      <c r="I61" s="5">
        <f t="shared" ref="I61:J61" si="108">I23</f>
        <v>98.399288660938694</v>
      </c>
      <c r="J61" s="5">
        <f t="shared" si="108"/>
        <v>0.82578589770542199</v>
      </c>
      <c r="K61" s="3">
        <f t="shared" si="7"/>
        <v>1</v>
      </c>
      <c r="L61" s="5">
        <f t="shared" ref="L61:M61" si="109">L23</f>
        <v>89.7906858173573</v>
      </c>
      <c r="M61" s="5">
        <f t="shared" si="109"/>
        <v>0.80205188869734301</v>
      </c>
      <c r="N61" s="3">
        <f t="shared" si="9"/>
        <v>1.2566244977969907</v>
      </c>
      <c r="O61" s="5">
        <f t="shared" ref="O61:P61" si="110">O23</f>
        <v>142.55659957488001</v>
      </c>
      <c r="P61" s="5">
        <f t="shared" si="110"/>
        <v>0.91706943407447605</v>
      </c>
    </row>
    <row r="62" spans="1:16" x14ac:dyDescent="0.2">
      <c r="A62">
        <v>804</v>
      </c>
      <c r="B62" s="3">
        <f t="shared" si="1"/>
        <v>1.2961930393474259</v>
      </c>
      <c r="C62" s="5">
        <f t="shared" ref="C62:D62" si="111">C24</f>
        <v>156.58943653106601</v>
      </c>
      <c r="D62" s="5">
        <f t="shared" si="111"/>
        <v>0.79633517421825994</v>
      </c>
      <c r="E62" s="3">
        <f t="shared" si="3"/>
        <v>1.2484677305968022</v>
      </c>
      <c r="F62" s="5">
        <f t="shared" ref="F62:G62" si="112">F24</f>
        <v>121.618919795236</v>
      </c>
      <c r="G62" s="5">
        <f t="shared" si="112"/>
        <v>0.80897774369873499</v>
      </c>
      <c r="H62" s="3">
        <f t="shared" si="5"/>
        <v>1</v>
      </c>
      <c r="I62" s="5">
        <f t="shared" ref="I62:J62" si="113">I24</f>
        <v>133.23239865847901</v>
      </c>
      <c r="J62" s="5">
        <f t="shared" si="113"/>
        <v>0.682575873291701</v>
      </c>
      <c r="K62" s="3">
        <f t="shared" si="7"/>
        <v>1.1109797462686926</v>
      </c>
      <c r="L62" s="5">
        <f t="shared" ref="L62:M62" si="114">L24</f>
        <v>124.868920771977</v>
      </c>
      <c r="M62" s="5">
        <f t="shared" si="114"/>
        <v>0.74598292995888005</v>
      </c>
      <c r="N62" s="3">
        <f t="shared" si="9"/>
        <v>1.0380921581573539</v>
      </c>
      <c r="O62" s="5">
        <f t="shared" ref="O62:P62" si="115">O24</f>
        <v>124.74056439571901</v>
      </c>
      <c r="P62" s="5">
        <f t="shared" si="115"/>
        <v>0.61024737254122197</v>
      </c>
    </row>
    <row r="63" spans="1:16" x14ac:dyDescent="0.2">
      <c r="A63">
        <v>812</v>
      </c>
      <c r="B63" s="3">
        <f t="shared" si="1"/>
        <v>1.2983113199160461</v>
      </c>
      <c r="C63" s="5">
        <f t="shared" ref="C63:D63" si="116">C25</f>
        <v>98.199582099914494</v>
      </c>
      <c r="D63" s="5">
        <f t="shared" si="116"/>
        <v>2.2944520077295301</v>
      </c>
      <c r="E63" s="3">
        <f t="shared" si="3"/>
        <v>1.0736869166402676</v>
      </c>
      <c r="F63" s="5">
        <f t="shared" ref="F63:G63" si="117">F25</f>
        <v>87.441142348662893</v>
      </c>
      <c r="G63" s="5">
        <f t="shared" si="117"/>
        <v>1.9372161433797701</v>
      </c>
      <c r="H63" s="3">
        <f t="shared" si="5"/>
        <v>1</v>
      </c>
      <c r="I63" s="5">
        <f t="shared" ref="I63:J63" si="118">I25</f>
        <v>88.663567117656498</v>
      </c>
      <c r="J63" s="5">
        <f t="shared" si="118"/>
        <v>1.89372388290204</v>
      </c>
      <c r="K63" s="3">
        <f t="shared" si="7"/>
        <v>1.1561716286888302</v>
      </c>
      <c r="L63" s="5">
        <f t="shared" ref="L63:M63" si="119">L25</f>
        <v>99.0160495606887</v>
      </c>
      <c r="M63" s="5">
        <f t="shared" si="119"/>
        <v>2.5329502637717201</v>
      </c>
      <c r="N63" s="3">
        <f t="shared" si="9"/>
        <v>1.1123094808140537</v>
      </c>
      <c r="O63" s="5">
        <f t="shared" ref="O63:P63" si="120">O25</f>
        <v>92.276404557683605</v>
      </c>
      <c r="P63" s="5">
        <f t="shared" si="120"/>
        <v>2.05862318528234</v>
      </c>
    </row>
    <row r="64" spans="1:16" x14ac:dyDescent="0.2">
      <c r="A64">
        <v>816</v>
      </c>
      <c r="B64" s="3">
        <f t="shared" si="1"/>
        <v>2.0075459226408063</v>
      </c>
      <c r="C64" s="5">
        <f t="shared" ref="C64:D64" si="121">C26</f>
        <v>174.744343757629</v>
      </c>
      <c r="D64" s="5">
        <f t="shared" si="121"/>
        <v>0.72007029290726099</v>
      </c>
      <c r="E64" s="3">
        <f t="shared" si="3"/>
        <v>1</v>
      </c>
      <c r="F64" s="5">
        <f t="shared" ref="F64:G64" si="122">F26</f>
        <v>163.98991841072501</v>
      </c>
      <c r="G64" s="5">
        <f t="shared" si="122"/>
        <v>0.36798252511766899</v>
      </c>
      <c r="H64" s="3">
        <f t="shared" si="5"/>
        <v>1.727734397691211</v>
      </c>
      <c r="I64" s="5">
        <f t="shared" ref="I64:J64" si="123">I26</f>
        <v>184.326595692517</v>
      </c>
      <c r="J64" s="5">
        <f t="shared" si="123"/>
        <v>0.72682982085983106</v>
      </c>
      <c r="K64" s="3">
        <f t="shared" si="7"/>
        <v>1.2174218234653265</v>
      </c>
      <c r="L64" s="5">
        <f t="shared" ref="L64:M64" si="124">L26</f>
        <v>172.13330681102701</v>
      </c>
      <c r="M64" s="5">
        <f t="shared" si="124"/>
        <v>0.52182396209452098</v>
      </c>
      <c r="N64" s="3">
        <f t="shared" si="9"/>
        <v>1.0520012641808063</v>
      </c>
      <c r="O64" s="5">
        <f t="shared" ref="O64:P64" si="125">O26</f>
        <v>176.73322913461499</v>
      </c>
      <c r="P64" s="5">
        <f t="shared" si="125"/>
        <v>0.42387845259615498</v>
      </c>
    </row>
    <row r="65" spans="1:16" x14ac:dyDescent="0.2">
      <c r="A65">
        <v>822</v>
      </c>
      <c r="B65" s="3">
        <f t="shared" si="1"/>
        <v>1.1280238231049</v>
      </c>
      <c r="C65" s="5">
        <f t="shared" ref="C65:D65" si="126">C27</f>
        <v>138.331580162048</v>
      </c>
      <c r="D65" s="5">
        <f t="shared" si="126"/>
        <v>0.64585844044059504</v>
      </c>
      <c r="E65" s="3">
        <f t="shared" si="3"/>
        <v>1.102811630182138</v>
      </c>
      <c r="F65" s="5">
        <f t="shared" ref="F65:G65" si="127">F27</f>
        <v>117.853039235164</v>
      </c>
      <c r="G65" s="5">
        <f t="shared" si="127"/>
        <v>0.73394217883056201</v>
      </c>
      <c r="H65" s="3">
        <f t="shared" si="5"/>
        <v>1</v>
      </c>
      <c r="I65" s="5">
        <f t="shared" ref="I65:J65" si="128">I27</f>
        <v>110.999158469924</v>
      </c>
      <c r="J65" s="5">
        <f t="shared" si="128"/>
        <v>0.64405058002697002</v>
      </c>
      <c r="K65" s="3">
        <f t="shared" si="7"/>
        <v>1.083819275898501</v>
      </c>
      <c r="L65" s="5">
        <f t="shared" ref="L65:M65" si="129">L27</f>
        <v>111.953280420393</v>
      </c>
      <c r="M65" s="5">
        <f t="shared" si="129"/>
        <v>0.74292240424272304</v>
      </c>
      <c r="N65" s="3">
        <f t="shared" si="9"/>
        <v>1.269672716319499</v>
      </c>
      <c r="O65" s="5">
        <f t="shared" ref="O65:P65" si="130">O27</f>
        <v>159.30897274045799</v>
      </c>
      <c r="P65" s="5">
        <f t="shared" si="130"/>
        <v>0.664307561860905</v>
      </c>
    </row>
    <row r="66" spans="1:16" x14ac:dyDescent="0.2">
      <c r="A66">
        <v>827</v>
      </c>
      <c r="B66" s="3">
        <f t="shared" si="1"/>
        <v>1.0593062099170019</v>
      </c>
      <c r="C66" s="5">
        <f t="shared" ref="C66:D66" si="131">C28</f>
        <v>111.49991750717101</v>
      </c>
      <c r="D66" s="5">
        <f t="shared" si="131"/>
        <v>1.1973231820282599</v>
      </c>
      <c r="E66" s="3">
        <f t="shared" si="3"/>
        <v>1.1252516574210631</v>
      </c>
      <c r="F66" s="5">
        <f t="shared" ref="F66:G66" si="132">F28</f>
        <v>103.70931982881601</v>
      </c>
      <c r="G66" s="5">
        <f t="shared" si="132"/>
        <v>1.34332111269333</v>
      </c>
      <c r="H66" s="3">
        <f t="shared" si="5"/>
        <v>1</v>
      </c>
      <c r="I66" s="5">
        <f t="shared" ref="I66:J66" si="133">I28</f>
        <v>94.873567191766796</v>
      </c>
      <c r="J66" s="5">
        <f t="shared" si="133"/>
        <v>1.06047513317911</v>
      </c>
      <c r="K66" s="3">
        <f t="shared" si="7"/>
        <v>1.0793220671589387</v>
      </c>
      <c r="L66" s="5">
        <f t="shared" ref="L66:M66" si="134">L28</f>
        <v>103.38084000181399</v>
      </c>
      <c r="M66" s="5">
        <f t="shared" si="134"/>
        <v>1.18155910873712</v>
      </c>
      <c r="N66" s="3">
        <f t="shared" si="9"/>
        <v>1.0111590109817521</v>
      </c>
      <c r="O66" s="5">
        <f t="shared" ref="O66:P66" si="135">O28</f>
        <v>95.302800318364902</v>
      </c>
      <c r="P66" s="5">
        <f t="shared" si="135"/>
        <v>1.0518891738977301</v>
      </c>
    </row>
    <row r="67" spans="1:16" x14ac:dyDescent="0.2">
      <c r="A67">
        <v>838</v>
      </c>
      <c r="B67" s="3">
        <f t="shared" si="1"/>
        <v>2.0598962119400617</v>
      </c>
      <c r="C67" s="5">
        <f t="shared" ref="C67:D67" si="136">C29</f>
        <v>145.465636253356</v>
      </c>
      <c r="D67" s="5">
        <f t="shared" si="136"/>
        <v>1.73924146498403</v>
      </c>
      <c r="E67" s="3">
        <f t="shared" si="3"/>
        <v>1.1001102997881791</v>
      </c>
      <c r="F67" s="5">
        <f t="shared" ref="F67:G67" si="137">F29</f>
        <v>96.573023574976304</v>
      </c>
      <c r="G67" s="5">
        <f t="shared" si="137"/>
        <v>1.0686986186384599</v>
      </c>
      <c r="H67" s="3">
        <f t="shared" si="5"/>
        <v>1</v>
      </c>
      <c r="I67" s="5">
        <f t="shared" ref="I67:J67" si="138">I29</f>
        <v>94.737865748864294</v>
      </c>
      <c r="J67" s="5">
        <f t="shared" si="138"/>
        <v>0.95923315864188197</v>
      </c>
      <c r="K67" s="3">
        <f t="shared" si="7"/>
        <v>1.1132952087516501</v>
      </c>
      <c r="L67" s="5">
        <f t="shared" ref="L67:M67" si="139">L29</f>
        <v>106.137255699764</v>
      </c>
      <c r="M67" s="5">
        <f t="shared" si="139"/>
        <v>0.90815719303492803</v>
      </c>
      <c r="N67" s="3">
        <f t="shared" si="9"/>
        <v>1.0000623647654965</v>
      </c>
      <c r="O67" s="5">
        <f t="shared" ref="O67:P67" si="140">O29</f>
        <v>95.499252781793999</v>
      </c>
      <c r="P67" s="5">
        <f t="shared" si="140"/>
        <v>0.85040180032966295</v>
      </c>
    </row>
    <row r="68" spans="1:16" x14ac:dyDescent="0.2">
      <c r="A68">
        <v>876</v>
      </c>
      <c r="B68" s="3">
        <f t="shared" si="1"/>
        <v>8.0554020808427005</v>
      </c>
      <c r="C68" s="5">
        <f t="shared" ref="C68:D68" si="141">C30</f>
        <v>200</v>
      </c>
      <c r="D68" s="5">
        <f t="shared" si="141"/>
        <v>0.32170441378364001</v>
      </c>
      <c r="E68" s="3">
        <f t="shared" si="3"/>
        <v>9.3804580856209014</v>
      </c>
      <c r="F68" s="5">
        <f t="shared" ref="F68:G68" si="142">F30</f>
        <v>200</v>
      </c>
      <c r="G68" s="5">
        <f t="shared" si="142"/>
        <v>0.37462249153620603</v>
      </c>
      <c r="H68" s="3">
        <f t="shared" si="5"/>
        <v>13.184533758131106</v>
      </c>
      <c r="I68" s="5">
        <f t="shared" ref="I68:J68" si="143">I30</f>
        <v>200</v>
      </c>
      <c r="J68" s="5">
        <f t="shared" si="143"/>
        <v>0.52654388955540499</v>
      </c>
      <c r="K68" s="3">
        <f t="shared" si="7"/>
        <v>13.343634689243192</v>
      </c>
      <c r="L68" s="5">
        <f t="shared" ref="L68:M68" si="144">L30</f>
        <v>200</v>
      </c>
      <c r="M68" s="5">
        <f t="shared" si="144"/>
        <v>0.532897820959918</v>
      </c>
      <c r="N68" s="3">
        <f t="shared" si="9"/>
        <v>1</v>
      </c>
      <c r="O68" s="5">
        <f t="shared" ref="O68:P68" si="145">O30</f>
        <v>200</v>
      </c>
      <c r="P68" s="5">
        <f t="shared" si="145"/>
        <v>3.9936481578704101E-2</v>
      </c>
    </row>
    <row r="69" spans="1:16" x14ac:dyDescent="0.2">
      <c r="A69">
        <v>877</v>
      </c>
      <c r="B69" s="3">
        <f t="shared" si="1"/>
        <v>1.5050682908247459</v>
      </c>
      <c r="C69" s="5">
        <f t="shared" ref="C69:D69" si="146">C31</f>
        <v>184.04695987701399</v>
      </c>
      <c r="D69" s="5">
        <f t="shared" si="146"/>
        <v>0.82976567779034704</v>
      </c>
      <c r="E69" s="3">
        <f t="shared" si="3"/>
        <v>1.0125520794152976</v>
      </c>
      <c r="F69" s="5">
        <f t="shared" ref="F69:G69" si="147">F31</f>
        <v>166.113674015681</v>
      </c>
      <c r="G69" s="5">
        <f t="shared" si="147"/>
        <v>0.497582408090738</v>
      </c>
      <c r="H69" s="3">
        <f t="shared" si="5"/>
        <v>1.0682028912481532</v>
      </c>
      <c r="I69" s="5">
        <f t="shared" ref="I69:J69" si="148">I31</f>
        <v>173.64878556565199</v>
      </c>
      <c r="J69" s="5">
        <f t="shared" si="148"/>
        <v>0.64628180737343399</v>
      </c>
      <c r="K69" s="3">
        <f t="shared" si="7"/>
        <v>1.0285861852663076</v>
      </c>
      <c r="L69" s="5">
        <f t="shared" ref="L69:M69" si="149">L31</f>
        <v>173.764563165243</v>
      </c>
      <c r="M69" s="5">
        <f t="shared" si="149"/>
        <v>0.68097074700202098</v>
      </c>
      <c r="N69" s="3">
        <f t="shared" si="9"/>
        <v>1</v>
      </c>
      <c r="O69" s="5">
        <f t="shared" ref="O69:P69" si="150">O31</f>
        <v>168.6016079513</v>
      </c>
      <c r="P69" s="5">
        <f t="shared" si="150"/>
        <v>0.49608760970766802</v>
      </c>
    </row>
    <row r="70" spans="1:16" x14ac:dyDescent="0.2">
      <c r="A70">
        <v>888</v>
      </c>
      <c r="B70" s="3">
        <f t="shared" si="1"/>
        <v>1.4938726881844935</v>
      </c>
      <c r="C70" s="5">
        <f t="shared" ref="C70:D70" si="151">C32</f>
        <v>118.092131614685</v>
      </c>
      <c r="D70" s="5">
        <f t="shared" si="151"/>
        <v>0.72205277535659196</v>
      </c>
      <c r="E70" s="3">
        <f t="shared" si="3"/>
        <v>1.0009310076584055</v>
      </c>
      <c r="F70" s="5">
        <f t="shared" ref="F70:G70" si="152">F32</f>
        <v>96.403316844402696</v>
      </c>
      <c r="G70" s="5">
        <f t="shared" si="152"/>
        <v>0.54947203951392798</v>
      </c>
      <c r="H70" s="3">
        <f t="shared" si="5"/>
        <v>1.0387684651007596</v>
      </c>
      <c r="I70" s="5">
        <f t="shared" ref="I70:J70" si="153">I32</f>
        <v>96.2529208258956</v>
      </c>
      <c r="J70" s="5">
        <f t="shared" si="153"/>
        <v>0.55236786803190496</v>
      </c>
      <c r="K70" s="3">
        <f t="shared" si="7"/>
        <v>1.0485024211174847</v>
      </c>
      <c r="L70" s="5">
        <f t="shared" ref="L70:M70" si="154">L32</f>
        <v>97.273683251091398</v>
      </c>
      <c r="M70" s="5">
        <f t="shared" si="154"/>
        <v>0.60371737217006904</v>
      </c>
      <c r="N70" s="3">
        <f t="shared" si="9"/>
        <v>1</v>
      </c>
      <c r="O70" s="5">
        <f t="shared" ref="O70:P70" si="155">O32</f>
        <v>90.363584628564396</v>
      </c>
      <c r="P70" s="5">
        <f t="shared" si="155"/>
        <v>0.44914723735405399</v>
      </c>
    </row>
    <row r="71" spans="1:16" x14ac:dyDescent="0.2">
      <c r="A71">
        <v>890</v>
      </c>
      <c r="B71" s="3">
        <f t="shared" si="1"/>
        <v>1.4702320562806594</v>
      </c>
      <c r="C71" s="5">
        <f t="shared" ref="C71:D71" si="156">C33</f>
        <v>70.926690101623507</v>
      </c>
      <c r="D71" s="5">
        <f t="shared" si="156"/>
        <v>0.73072961314456397</v>
      </c>
      <c r="E71" s="3">
        <f t="shared" si="3"/>
        <v>1.114520310083283</v>
      </c>
      <c r="F71" s="5">
        <f t="shared" ref="F71:G71" si="157">F33</f>
        <v>62.753118508957797</v>
      </c>
      <c r="G71" s="5">
        <f t="shared" si="157"/>
        <v>0.48869321768125001</v>
      </c>
      <c r="H71" s="3">
        <f t="shared" si="5"/>
        <v>1</v>
      </c>
      <c r="I71" s="5">
        <f t="shared" ref="I71:J71" si="158">I33</f>
        <v>54.0822149660479</v>
      </c>
      <c r="J71" s="5">
        <f t="shared" si="158"/>
        <v>0.47642660270899501</v>
      </c>
      <c r="K71" s="3">
        <f t="shared" si="7"/>
        <v>1.3000433249238033</v>
      </c>
      <c r="L71" s="5">
        <f t="shared" ref="L71:M71" si="159">L33</f>
        <v>62.354499898399801</v>
      </c>
      <c r="M71" s="5">
        <f t="shared" si="159"/>
        <v>0.57733920981689102</v>
      </c>
      <c r="N71" s="3">
        <f t="shared" si="9"/>
        <v>1.2986498092484984</v>
      </c>
      <c r="O71" s="5">
        <f t="shared" ref="O71:P71" si="160">O33</f>
        <v>60.126146998895997</v>
      </c>
      <c r="P71" s="5">
        <f t="shared" si="160"/>
        <v>0.57134705647377304</v>
      </c>
    </row>
    <row r="72" spans="1:16" ht="53" customHeight="1" x14ac:dyDescent="0.2">
      <c r="A72" s="2" t="s">
        <v>81</v>
      </c>
      <c r="B72" s="3">
        <f>AVERAGE(B40:B71)</f>
        <v>1.8774558385835909</v>
      </c>
      <c r="C72" s="10">
        <f t="shared" ref="C72:P72" si="161">AVERAGE(C40:C71)</f>
        <v>136.53890024870591</v>
      </c>
      <c r="D72" s="10">
        <f t="shared" si="161"/>
        <v>0.97413462738485446</v>
      </c>
      <c r="E72" s="3">
        <f t="shared" si="161"/>
        <v>1.3662032610322243</v>
      </c>
      <c r="F72" s="10">
        <f t="shared" si="161"/>
        <v>122.5762731622614</v>
      </c>
      <c r="G72" s="10">
        <f t="shared" si="161"/>
        <v>0.73957392432502678</v>
      </c>
      <c r="H72" s="3">
        <f t="shared" si="161"/>
        <v>1.5550843411985007</v>
      </c>
      <c r="I72" s="10">
        <f t="shared" si="161"/>
        <v>123.55275098206133</v>
      </c>
      <c r="J72" s="10">
        <f t="shared" si="161"/>
        <v>0.74780842339161069</v>
      </c>
      <c r="K72" s="3">
        <f t="shared" si="161"/>
        <v>1.6003408174448868</v>
      </c>
      <c r="L72" s="10">
        <f t="shared" si="161"/>
        <v>124.92178602687704</v>
      </c>
      <c r="M72" s="10">
        <f t="shared" si="161"/>
        <v>0.83536943213098491</v>
      </c>
      <c r="N72" s="3">
        <f t="shared" si="161"/>
        <v>1.1083773624971152</v>
      </c>
      <c r="O72" s="10">
        <f t="shared" si="161"/>
        <v>129.28140085879164</v>
      </c>
      <c r="P72" s="10">
        <f t="shared" si="161"/>
        <v>0.6799717175318013</v>
      </c>
    </row>
  </sheetData>
  <pageMargins left="0.75" right="0.75" top="1" bottom="1" header="0.5" footer="0.5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3D2E-B270-5A43-851A-7C682DB702A2}">
  <dimension ref="A1:R71"/>
  <sheetViews>
    <sheetView tabSelected="1" workbookViewId="0">
      <selection activeCell="N38" sqref="N38"/>
    </sheetView>
  </sheetViews>
  <sheetFormatPr baseColWidth="10" defaultRowHeight="16" x14ac:dyDescent="0.2"/>
  <cols>
    <col min="1" max="1" width="18.33203125" customWidth="1"/>
    <col min="2" max="2" width="12.5" style="3" customWidth="1"/>
    <col min="3" max="4" width="12.33203125" customWidth="1"/>
    <col min="5" max="5" width="12.6640625" style="3" customWidth="1"/>
    <col min="6" max="6" width="12.5" customWidth="1"/>
    <col min="7" max="7" width="13.83203125" customWidth="1"/>
    <col min="8" max="8" width="11.5" style="3" customWidth="1"/>
    <col min="9" max="9" width="13.33203125" customWidth="1"/>
    <col min="10" max="10" width="12" customWidth="1"/>
    <col min="11" max="11" width="11.6640625" style="3" customWidth="1"/>
    <col min="12" max="12" width="13.6640625" customWidth="1"/>
    <col min="13" max="13" width="12.5" customWidth="1"/>
    <col min="14" max="14" width="11.5" style="3" customWidth="1"/>
    <col min="15" max="15" width="13.33203125" customWidth="1"/>
    <col min="16" max="16" width="11.5" customWidth="1"/>
    <col min="18" max="18" width="21.6640625" customWidth="1"/>
  </cols>
  <sheetData>
    <row r="1" spans="1:18" s="1" customFormat="1" ht="39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R1" s="1" t="s">
        <v>16</v>
      </c>
    </row>
    <row r="2" spans="1:18" x14ac:dyDescent="0.2">
      <c r="A2">
        <v>47</v>
      </c>
      <c r="B2" s="3">
        <v>6494.1040952543999</v>
      </c>
      <c r="C2">
        <v>132.219624519348</v>
      </c>
      <c r="D2">
        <v>0.59396553542377195</v>
      </c>
      <c r="E2" s="3">
        <v>6393.2710294306698</v>
      </c>
      <c r="F2">
        <v>124.46870657701101</v>
      </c>
      <c r="G2">
        <v>0.59550928053681895</v>
      </c>
      <c r="H2" s="3">
        <v>5980.6866870959602</v>
      </c>
      <c r="I2">
        <v>130.45692446643201</v>
      </c>
      <c r="J2">
        <v>0.60305350971365301</v>
      </c>
      <c r="K2" s="3">
        <v>5795.7240182084797</v>
      </c>
      <c r="L2">
        <v>124.30806762910299</v>
      </c>
      <c r="M2">
        <v>0.60157023265836895</v>
      </c>
      <c r="N2" s="3">
        <v>5495.4120932644701</v>
      </c>
      <c r="O2">
        <v>126.94902600920901</v>
      </c>
      <c r="P2">
        <v>0.54012622985545</v>
      </c>
      <c r="R2" s="4" t="s">
        <v>17</v>
      </c>
    </row>
    <row r="3" spans="1:18" x14ac:dyDescent="0.2">
      <c r="A3">
        <v>65</v>
      </c>
      <c r="B3" s="3">
        <v>1883.29956459401</v>
      </c>
      <c r="C3">
        <v>189.78846073150601</v>
      </c>
      <c r="D3">
        <v>1.3949198090489101</v>
      </c>
      <c r="E3" s="3">
        <v>1327.08243076128</v>
      </c>
      <c r="F3">
        <v>179.19803551747</v>
      </c>
      <c r="G3">
        <v>0.99346582017927998</v>
      </c>
      <c r="H3" s="3">
        <v>1238.2326518709001</v>
      </c>
      <c r="I3">
        <v>170.64428123244801</v>
      </c>
      <c r="J3">
        <v>0.92300771704745699</v>
      </c>
      <c r="K3" s="3">
        <v>1258.43081436174</v>
      </c>
      <c r="L3">
        <v>173.17076411978101</v>
      </c>
      <c r="M3">
        <v>1.0834087089661</v>
      </c>
      <c r="N3" s="3">
        <v>1246.08816601681</v>
      </c>
      <c r="O3">
        <v>176.070166514269</v>
      </c>
      <c r="P3">
        <v>0.86910877490564098</v>
      </c>
      <c r="R3" s="4" t="s">
        <v>18</v>
      </c>
    </row>
    <row r="4" spans="1:18" x14ac:dyDescent="0.2">
      <c r="A4">
        <v>98</v>
      </c>
      <c r="B4" s="3">
        <v>2605.3108259860201</v>
      </c>
      <c r="C4">
        <v>194.01135444641099</v>
      </c>
      <c r="D4">
        <v>0.76735641463575799</v>
      </c>
      <c r="E4" s="3">
        <v>1021.71897907121</v>
      </c>
      <c r="F4">
        <v>198.655282308875</v>
      </c>
      <c r="G4">
        <v>0.34840919764515299</v>
      </c>
      <c r="H4" s="3">
        <v>2151.8512168310799</v>
      </c>
      <c r="I4">
        <v>194.31379005127101</v>
      </c>
      <c r="J4">
        <v>0.86169713892075095</v>
      </c>
      <c r="K4" s="3">
        <v>3012.4537877450598</v>
      </c>
      <c r="L4">
        <v>195.16938995100099</v>
      </c>
      <c r="M4">
        <v>1.2083759474989899</v>
      </c>
      <c r="N4" s="3">
        <v>1738.3610091181899</v>
      </c>
      <c r="O4">
        <v>193.895939664037</v>
      </c>
      <c r="P4">
        <v>0.69009713171007503</v>
      </c>
      <c r="R4" s="4" t="s">
        <v>19</v>
      </c>
    </row>
    <row r="5" spans="1:18" x14ac:dyDescent="0.2">
      <c r="A5">
        <v>114</v>
      </c>
      <c r="B5" s="3">
        <v>66597.128106247896</v>
      </c>
      <c r="C5">
        <v>77.6458740234375</v>
      </c>
      <c r="D5">
        <v>0.97189005345925406</v>
      </c>
      <c r="E5" s="3">
        <v>51838.676431848799</v>
      </c>
      <c r="F5">
        <v>52.295170773032503</v>
      </c>
      <c r="G5">
        <v>0.6589834757659</v>
      </c>
      <c r="H5" s="3">
        <v>43922.848164853996</v>
      </c>
      <c r="I5">
        <v>46.451581050085501</v>
      </c>
      <c r="J5">
        <v>0.55644885728289395</v>
      </c>
      <c r="K5" s="3">
        <v>42114.028585845997</v>
      </c>
      <c r="L5">
        <v>44.1150765400278</v>
      </c>
      <c r="M5">
        <v>0.56151781205343299</v>
      </c>
      <c r="N5" s="3">
        <v>48094.816384498903</v>
      </c>
      <c r="O5">
        <v>54.425498067664499</v>
      </c>
      <c r="P5">
        <v>0.64789755593029597</v>
      </c>
      <c r="R5" s="4" t="s">
        <v>23</v>
      </c>
    </row>
    <row r="6" spans="1:18" x14ac:dyDescent="0.2">
      <c r="A6">
        <v>123</v>
      </c>
      <c r="B6" s="3">
        <v>12576.590316934</v>
      </c>
      <c r="C6">
        <v>137.846982479095</v>
      </c>
      <c r="D6">
        <v>1.20794190011592</v>
      </c>
      <c r="E6" s="3">
        <v>10174.113327250299</v>
      </c>
      <c r="F6">
        <v>121.95017267975</v>
      </c>
      <c r="G6">
        <v>0.99921980378140496</v>
      </c>
      <c r="H6" s="3">
        <v>10885.671190405699</v>
      </c>
      <c r="I6">
        <v>126.86941620351899</v>
      </c>
      <c r="J6">
        <v>1.05251026948579</v>
      </c>
      <c r="K6" s="3">
        <v>11150.817412435999</v>
      </c>
      <c r="L6">
        <v>131.11795764116499</v>
      </c>
      <c r="M6">
        <v>1.0349773264147799</v>
      </c>
      <c r="N6" s="3">
        <v>11171.0378995882</v>
      </c>
      <c r="O6">
        <v>126.220739833926</v>
      </c>
      <c r="P6">
        <v>1.01274891126291</v>
      </c>
      <c r="R6" s="4" t="s">
        <v>24</v>
      </c>
    </row>
    <row r="7" spans="1:18" x14ac:dyDescent="0.2">
      <c r="A7">
        <v>168</v>
      </c>
      <c r="B7" s="3">
        <v>2465.5488232845801</v>
      </c>
      <c r="C7">
        <v>139.58247900009101</v>
      </c>
      <c r="D7">
        <v>0.96636859702260702</v>
      </c>
      <c r="E7" s="3">
        <v>3168.5763653876202</v>
      </c>
      <c r="F7">
        <v>139.36390958595899</v>
      </c>
      <c r="G7">
        <v>1.3221926509023001</v>
      </c>
      <c r="H7" s="3">
        <v>2651.1134534134899</v>
      </c>
      <c r="I7">
        <v>127.874714456736</v>
      </c>
      <c r="J7">
        <v>0.99839910301191204</v>
      </c>
      <c r="K7" s="3">
        <v>2702.0196445863298</v>
      </c>
      <c r="L7">
        <v>146.204270060455</v>
      </c>
      <c r="M7">
        <v>1.25137823955464</v>
      </c>
      <c r="N7" s="3">
        <v>2621.4302651914199</v>
      </c>
      <c r="O7">
        <v>130.22356073498901</v>
      </c>
      <c r="P7">
        <v>1.0950115111032499</v>
      </c>
      <c r="R7" s="4" t="s">
        <v>25</v>
      </c>
    </row>
    <row r="8" spans="1:18" x14ac:dyDescent="0.2">
      <c r="A8">
        <v>172</v>
      </c>
      <c r="B8" s="3">
        <v>11936.8210173395</v>
      </c>
      <c r="C8">
        <v>118.99974346160801</v>
      </c>
      <c r="D8">
        <v>0.78438601468384495</v>
      </c>
      <c r="E8" s="3">
        <v>9266.6779423716398</v>
      </c>
      <c r="F8">
        <v>122.744314063288</v>
      </c>
      <c r="G8">
        <v>0.78170999555890597</v>
      </c>
      <c r="H8" s="3">
        <v>9416.8878528728201</v>
      </c>
      <c r="I8">
        <v>123.797360997243</v>
      </c>
      <c r="J8">
        <v>0.81013831541589598</v>
      </c>
      <c r="K8" s="3">
        <v>11420.644184250201</v>
      </c>
      <c r="L8">
        <v>136.70287947818099</v>
      </c>
      <c r="M8">
        <v>1.1784128787424799</v>
      </c>
      <c r="N8" s="3">
        <v>8958.5901670804396</v>
      </c>
      <c r="O8">
        <v>122.75566633198</v>
      </c>
      <c r="P8">
        <v>0.73550366282849799</v>
      </c>
      <c r="R8" s="16"/>
    </row>
    <row r="9" spans="1:18" x14ac:dyDescent="0.2">
      <c r="A9">
        <v>185</v>
      </c>
      <c r="B9" s="3">
        <v>28318.8666439884</v>
      </c>
      <c r="C9">
        <v>103.742384910583</v>
      </c>
      <c r="D9">
        <v>0.81199436358442201</v>
      </c>
      <c r="E9" s="3">
        <v>30448.066101414901</v>
      </c>
      <c r="F9">
        <v>97.700367494684201</v>
      </c>
      <c r="G9">
        <v>0.85835183006424198</v>
      </c>
      <c r="H9" s="3">
        <v>29881.670337056199</v>
      </c>
      <c r="I9">
        <v>99.117633102045303</v>
      </c>
      <c r="J9">
        <v>0.82237192374713097</v>
      </c>
      <c r="K9" s="3">
        <v>29205.690713623699</v>
      </c>
      <c r="L9">
        <v>98.797892674946198</v>
      </c>
      <c r="M9">
        <v>0.76931696446269604</v>
      </c>
      <c r="N9" s="3">
        <v>29865.1310359995</v>
      </c>
      <c r="O9">
        <v>97.680347369800202</v>
      </c>
      <c r="P9">
        <v>0.78999182451771699</v>
      </c>
      <c r="R9" s="4" t="s">
        <v>33</v>
      </c>
    </row>
    <row r="10" spans="1:18" x14ac:dyDescent="0.2">
      <c r="A10">
        <v>195</v>
      </c>
      <c r="B10" s="3">
        <v>79883.213956375097</v>
      </c>
      <c r="C10">
        <v>132.339572906494</v>
      </c>
      <c r="D10">
        <v>0.86932107474218101</v>
      </c>
      <c r="E10" s="3">
        <v>53455.934241183102</v>
      </c>
      <c r="F10">
        <v>90.783409211563495</v>
      </c>
      <c r="G10">
        <v>0.52772235836524095</v>
      </c>
      <c r="H10" s="3">
        <v>55226.6150334134</v>
      </c>
      <c r="I10">
        <v>91.070637256498799</v>
      </c>
      <c r="J10">
        <v>0.55381013139393298</v>
      </c>
      <c r="K10" s="3">
        <v>63898.0770694354</v>
      </c>
      <c r="L10">
        <v>101.586474009127</v>
      </c>
      <c r="M10">
        <v>0.66681489719751497</v>
      </c>
      <c r="N10" s="3">
        <v>63195.769985663297</v>
      </c>
      <c r="O10">
        <v>102.35986525652</v>
      </c>
      <c r="P10">
        <v>0.66386652828077497</v>
      </c>
      <c r="R10" s="4" t="s">
        <v>34</v>
      </c>
    </row>
    <row r="11" spans="1:18" x14ac:dyDescent="0.2">
      <c r="A11">
        <v>197</v>
      </c>
      <c r="B11" s="3">
        <v>12925.4205347447</v>
      </c>
      <c r="C11">
        <v>138.58462572097699</v>
      </c>
      <c r="D11">
        <v>0.78130677961881001</v>
      </c>
      <c r="E11" s="3">
        <v>12811.7953336884</v>
      </c>
      <c r="F11">
        <v>139.818165296465</v>
      </c>
      <c r="G11">
        <v>0.83446832872863996</v>
      </c>
      <c r="H11" s="3">
        <v>12247.121665241701</v>
      </c>
      <c r="I11">
        <v>141.96259089524901</v>
      </c>
      <c r="J11">
        <v>0.85837332580063297</v>
      </c>
      <c r="K11" s="3">
        <v>11849.1444917223</v>
      </c>
      <c r="L11">
        <v>142.27000779458101</v>
      </c>
      <c r="M11">
        <v>0.72708692043401102</v>
      </c>
      <c r="N11" s="3">
        <v>14698.1055609594</v>
      </c>
      <c r="O11">
        <v>157.466839750943</v>
      </c>
      <c r="P11">
        <v>0.71572938598198099</v>
      </c>
      <c r="R11" s="4" t="s">
        <v>36</v>
      </c>
    </row>
    <row r="12" spans="1:18" x14ac:dyDescent="0.2">
      <c r="A12">
        <v>237</v>
      </c>
      <c r="B12" s="3">
        <v>29039.874379893499</v>
      </c>
      <c r="C12">
        <v>128.37004661559999</v>
      </c>
      <c r="D12">
        <v>0.88645064396580397</v>
      </c>
      <c r="E12" s="3">
        <v>23288.611136801301</v>
      </c>
      <c r="F12">
        <v>125.235767098729</v>
      </c>
      <c r="G12">
        <v>0.54339941350544196</v>
      </c>
      <c r="H12" s="3">
        <v>18770.351392618501</v>
      </c>
      <c r="I12">
        <v>119.682058030683</v>
      </c>
      <c r="J12">
        <v>0.59076599587451195</v>
      </c>
      <c r="K12" s="3">
        <v>22973.916104546799</v>
      </c>
      <c r="L12">
        <v>122.55876505190901</v>
      </c>
      <c r="M12">
        <v>0.626541567931445</v>
      </c>
      <c r="N12" s="3">
        <v>21734.1329166867</v>
      </c>
      <c r="O12">
        <v>102.978370245487</v>
      </c>
      <c r="P12">
        <v>0.43951112933280201</v>
      </c>
      <c r="R12" s="4" t="s">
        <v>38</v>
      </c>
    </row>
    <row r="13" spans="1:18" x14ac:dyDescent="0.2">
      <c r="A13">
        <v>272</v>
      </c>
      <c r="B13" s="3">
        <v>2135.63995092805</v>
      </c>
      <c r="C13">
        <v>155.247604846954</v>
      </c>
      <c r="D13">
        <v>1.0787351305580499</v>
      </c>
      <c r="E13" s="3">
        <v>1535.5831462210599</v>
      </c>
      <c r="F13">
        <v>145.14119736861201</v>
      </c>
      <c r="G13">
        <v>0.84864270259796903</v>
      </c>
      <c r="H13" s="3">
        <v>1495.2417372662401</v>
      </c>
      <c r="I13">
        <v>140.634816569837</v>
      </c>
      <c r="J13">
        <v>0.72421622325206203</v>
      </c>
      <c r="K13" s="3">
        <v>1538.8556852259601</v>
      </c>
      <c r="L13">
        <v>148.396130939687</v>
      </c>
      <c r="M13">
        <v>0.89469228623989705</v>
      </c>
      <c r="N13" s="3">
        <v>1728.9657598420999</v>
      </c>
      <c r="O13">
        <v>152.113581113301</v>
      </c>
      <c r="P13">
        <v>0.81663795952628504</v>
      </c>
      <c r="R13" s="4" t="s">
        <v>40</v>
      </c>
    </row>
    <row r="14" spans="1:18" x14ac:dyDescent="0.2">
      <c r="A14">
        <v>279</v>
      </c>
      <c r="B14" s="3">
        <v>71063.4087558428</v>
      </c>
      <c r="C14">
        <v>126.21978521347</v>
      </c>
      <c r="D14">
        <v>0.97252959817295404</v>
      </c>
      <c r="E14" s="3">
        <v>34499.568050340204</v>
      </c>
      <c r="F14">
        <v>91.364041413681093</v>
      </c>
      <c r="G14">
        <v>0.57707656543660402</v>
      </c>
      <c r="H14" s="3">
        <v>36408.089669307097</v>
      </c>
      <c r="I14">
        <v>105.002800057651</v>
      </c>
      <c r="J14">
        <v>0.586795525769369</v>
      </c>
      <c r="K14" s="3">
        <v>45701.813934906102</v>
      </c>
      <c r="L14">
        <v>112.896963212689</v>
      </c>
      <c r="M14">
        <v>0.81900489900941997</v>
      </c>
      <c r="N14" s="3">
        <v>33556.890187338497</v>
      </c>
      <c r="O14">
        <v>88.045793402269197</v>
      </c>
      <c r="P14">
        <v>0.51697530143915804</v>
      </c>
      <c r="R14" s="4" t="s">
        <v>20</v>
      </c>
    </row>
    <row r="15" spans="1:18" x14ac:dyDescent="0.2">
      <c r="A15">
        <v>709</v>
      </c>
      <c r="B15" s="3">
        <v>2011.77471402739</v>
      </c>
      <c r="C15">
        <v>158.053159713745</v>
      </c>
      <c r="D15">
        <v>4.23702485234006E-2</v>
      </c>
      <c r="E15" s="3">
        <v>857.36758722324896</v>
      </c>
      <c r="F15">
        <v>183.67090019803399</v>
      </c>
      <c r="G15">
        <v>1.2730766131148199E-2</v>
      </c>
      <c r="H15" s="3">
        <v>2172.4083296940198</v>
      </c>
      <c r="I15">
        <v>167.33492350357</v>
      </c>
      <c r="J15">
        <v>4.43851140755641E-2</v>
      </c>
      <c r="K15" s="3">
        <v>760.20736324544896</v>
      </c>
      <c r="L15">
        <v>131.544597698128</v>
      </c>
      <c r="M15">
        <v>1.2306049661767999E-2</v>
      </c>
      <c r="N15" s="3">
        <v>837.47267981347397</v>
      </c>
      <c r="O15">
        <v>174.998309633877</v>
      </c>
      <c r="P15">
        <v>1.3030927178474899E-2</v>
      </c>
      <c r="R15" s="4" t="s">
        <v>21</v>
      </c>
    </row>
    <row r="16" spans="1:18" x14ac:dyDescent="0.2">
      <c r="A16">
        <v>712</v>
      </c>
      <c r="B16" s="3">
        <v>3192.2308813743398</v>
      </c>
      <c r="C16">
        <v>146.16889953613199</v>
      </c>
      <c r="D16">
        <v>0.71051829091516105</v>
      </c>
      <c r="E16" s="3">
        <v>2688.0459949615401</v>
      </c>
      <c r="F16">
        <v>129.52510133865599</v>
      </c>
      <c r="G16">
        <v>0.66111218449446796</v>
      </c>
      <c r="H16" s="3">
        <v>2550.5416321048301</v>
      </c>
      <c r="I16">
        <v>131.2645609169</v>
      </c>
      <c r="J16">
        <v>0.61132504798425602</v>
      </c>
      <c r="K16" s="3">
        <v>3529.6432967164501</v>
      </c>
      <c r="L16">
        <v>137.50930267497901</v>
      </c>
      <c r="M16">
        <v>1.06316108951955</v>
      </c>
      <c r="N16" s="3">
        <v>2869.4377753835902</v>
      </c>
      <c r="O16">
        <v>155.35643310359399</v>
      </c>
      <c r="P16">
        <v>0.58577571588542299</v>
      </c>
      <c r="R16" s="4" t="s">
        <v>22</v>
      </c>
    </row>
    <row r="17" spans="1:18" x14ac:dyDescent="0.2">
      <c r="A17">
        <v>714</v>
      </c>
      <c r="B17" s="3">
        <v>2568.4503109851998</v>
      </c>
      <c r="C17">
        <v>172.99622297286899</v>
      </c>
      <c r="D17">
        <v>0.96947682531896695</v>
      </c>
      <c r="E17" s="3">
        <v>518.87545650241896</v>
      </c>
      <c r="F17">
        <v>115.85790890621099</v>
      </c>
      <c r="G17">
        <v>0.27313364596908402</v>
      </c>
      <c r="H17" s="3">
        <v>1049.6574696553701</v>
      </c>
      <c r="I17">
        <v>145.39346669917299</v>
      </c>
      <c r="J17">
        <v>0.52676478560032303</v>
      </c>
      <c r="K17" s="3">
        <v>567.601911222377</v>
      </c>
      <c r="L17">
        <v>155.18595000214299</v>
      </c>
      <c r="M17">
        <v>0.247491316182226</v>
      </c>
      <c r="N17" s="3">
        <v>581.939134354967</v>
      </c>
      <c r="O17">
        <v>160.73456215735999</v>
      </c>
      <c r="P17">
        <v>0.24701827508238999</v>
      </c>
      <c r="R17" s="4" t="s">
        <v>26</v>
      </c>
    </row>
    <row r="18" spans="1:18" x14ac:dyDescent="0.2">
      <c r="A18">
        <v>722</v>
      </c>
      <c r="B18" s="3">
        <v>288196.086135811</v>
      </c>
      <c r="C18">
        <v>135.181605815887</v>
      </c>
      <c r="D18">
        <v>1.0440688721951299</v>
      </c>
      <c r="E18" s="3">
        <v>216823.902362956</v>
      </c>
      <c r="F18">
        <v>119.58094322038301</v>
      </c>
      <c r="G18">
        <v>0.83321798769566302</v>
      </c>
      <c r="H18" s="3">
        <v>185681.100926721</v>
      </c>
      <c r="I18">
        <v>109.13193784101099</v>
      </c>
      <c r="J18">
        <v>0.65347365892675702</v>
      </c>
      <c r="K18" s="3">
        <v>212595.52475597701</v>
      </c>
      <c r="L18">
        <v>119.66609340729001</v>
      </c>
      <c r="M18">
        <v>0.76624462485278999</v>
      </c>
      <c r="N18" s="3">
        <v>210523.285365516</v>
      </c>
      <c r="O18">
        <v>121.653146137208</v>
      </c>
      <c r="P18">
        <v>0.81437007550779605</v>
      </c>
      <c r="R18" s="4" t="s">
        <v>27</v>
      </c>
    </row>
    <row r="19" spans="1:18" x14ac:dyDescent="0.2">
      <c r="A19">
        <v>724</v>
      </c>
      <c r="B19" s="3">
        <v>7140.3450896997902</v>
      </c>
      <c r="C19">
        <v>93.039846420288001</v>
      </c>
      <c r="D19">
        <v>1.1055784338150201</v>
      </c>
      <c r="E19" s="3">
        <v>4993.8136231646404</v>
      </c>
      <c r="F19">
        <v>62.0953075805023</v>
      </c>
      <c r="G19">
        <v>0.76970395255276502</v>
      </c>
      <c r="H19" s="3">
        <v>4548.8084023601596</v>
      </c>
      <c r="I19">
        <v>58.621475052870998</v>
      </c>
      <c r="J19">
        <v>0.69439027036180401</v>
      </c>
      <c r="K19" s="3">
        <v>4714.6768101663602</v>
      </c>
      <c r="L19">
        <v>63.897926515094902</v>
      </c>
      <c r="M19">
        <v>0.78100787472615396</v>
      </c>
      <c r="N19" s="3">
        <v>4933.6496097958097</v>
      </c>
      <c r="O19">
        <v>63.6177494600364</v>
      </c>
      <c r="P19">
        <v>0.79661470927519396</v>
      </c>
      <c r="R19" s="4" t="s">
        <v>28</v>
      </c>
    </row>
    <row r="20" spans="1:18" x14ac:dyDescent="0.2">
      <c r="A20">
        <v>749</v>
      </c>
      <c r="B20" s="3">
        <v>50107.964077579498</v>
      </c>
      <c r="C20">
        <v>126.23946666717499</v>
      </c>
      <c r="D20">
        <v>1.7991066122394901</v>
      </c>
      <c r="E20" s="3">
        <v>19024.317029594898</v>
      </c>
      <c r="F20">
        <v>104.79200705662301</v>
      </c>
      <c r="G20">
        <v>0.67526558216079302</v>
      </c>
      <c r="H20" s="3">
        <v>22822.570157663198</v>
      </c>
      <c r="I20">
        <v>130.758221783604</v>
      </c>
      <c r="J20">
        <v>0.94212044663008998</v>
      </c>
      <c r="K20" s="3">
        <v>33883.817307680503</v>
      </c>
      <c r="L20">
        <v>143.104161836543</v>
      </c>
      <c r="M20">
        <v>1.51947333376683</v>
      </c>
      <c r="N20" s="3">
        <v>22180.333787649699</v>
      </c>
      <c r="O20">
        <v>108.61843174568</v>
      </c>
      <c r="P20">
        <v>0.88412499738705397</v>
      </c>
      <c r="R20" s="4" t="s">
        <v>29</v>
      </c>
    </row>
    <row r="21" spans="1:18" x14ac:dyDescent="0.2">
      <c r="A21">
        <v>777</v>
      </c>
      <c r="B21" s="3">
        <v>3824.6917522854001</v>
      </c>
      <c r="C21">
        <v>155.77139854431101</v>
      </c>
      <c r="D21">
        <v>0.93287443923961899</v>
      </c>
      <c r="E21" s="3">
        <v>2559.7417961342899</v>
      </c>
      <c r="F21">
        <v>148.45549180987899</v>
      </c>
      <c r="G21">
        <v>0.83128728193778301</v>
      </c>
      <c r="H21" s="3">
        <v>2786.59239255375</v>
      </c>
      <c r="I21">
        <v>156.87086533512499</v>
      </c>
      <c r="J21">
        <v>1.0498149729501001</v>
      </c>
      <c r="K21" s="3">
        <v>2483.00300705469</v>
      </c>
      <c r="L21">
        <v>149.401202385712</v>
      </c>
      <c r="M21">
        <v>0.72433078067776002</v>
      </c>
      <c r="N21" s="3">
        <v>2539.68468236627</v>
      </c>
      <c r="O21">
        <v>156.552890109793</v>
      </c>
      <c r="P21">
        <v>0.76187084558371099</v>
      </c>
      <c r="R21" s="4" t="s">
        <v>30</v>
      </c>
    </row>
    <row r="22" spans="1:18" x14ac:dyDescent="0.2">
      <c r="A22">
        <v>782</v>
      </c>
      <c r="B22" s="3">
        <v>20721.964385646399</v>
      </c>
      <c r="C22">
        <v>129.13485765457099</v>
      </c>
      <c r="D22">
        <v>0.87566695974495501</v>
      </c>
      <c r="E22" s="3">
        <v>19479.031510419802</v>
      </c>
      <c r="F22">
        <v>117.390931991899</v>
      </c>
      <c r="G22">
        <v>0.705667132586836</v>
      </c>
      <c r="H22" s="3">
        <v>21131.240637617298</v>
      </c>
      <c r="I22">
        <v>123.60911568952901</v>
      </c>
      <c r="J22">
        <v>0.81201770788086702</v>
      </c>
      <c r="K22" s="3">
        <v>18184.199378813799</v>
      </c>
      <c r="L22">
        <v>123.300103464309</v>
      </c>
      <c r="M22">
        <v>0.70317401381303202</v>
      </c>
      <c r="N22" s="3">
        <v>17998.288775634399</v>
      </c>
      <c r="O22">
        <v>120.47583095750301</v>
      </c>
      <c r="P22">
        <v>0.66401105182215103</v>
      </c>
      <c r="R22" s="4" t="s">
        <v>31</v>
      </c>
    </row>
    <row r="23" spans="1:18" x14ac:dyDescent="0.2">
      <c r="A23">
        <v>792</v>
      </c>
      <c r="B23" s="3">
        <v>20643.107518007</v>
      </c>
      <c r="C23">
        <v>117.22594499588</v>
      </c>
      <c r="D23">
        <v>0.959532462247909</v>
      </c>
      <c r="E23" s="3">
        <v>17062.984812482999</v>
      </c>
      <c r="F23">
        <v>95.898137138436098</v>
      </c>
      <c r="G23">
        <v>0.84458714262376</v>
      </c>
      <c r="H23" s="3">
        <v>17309.489520192899</v>
      </c>
      <c r="I23">
        <v>98.363318803103596</v>
      </c>
      <c r="J23">
        <v>0.82370471482167296</v>
      </c>
      <c r="K23" s="3">
        <v>16767.651853896201</v>
      </c>
      <c r="L23">
        <v>94.589828113163605</v>
      </c>
      <c r="M23">
        <v>0.78538631034913697</v>
      </c>
      <c r="N23" s="3">
        <v>18313.688866994798</v>
      </c>
      <c r="O23">
        <v>94.144746881046999</v>
      </c>
      <c r="P23">
        <v>0.86900966263503499</v>
      </c>
      <c r="R23" s="4" t="s">
        <v>35</v>
      </c>
    </row>
    <row r="24" spans="1:18" x14ac:dyDescent="0.2">
      <c r="A24">
        <v>804</v>
      </c>
      <c r="B24" s="3">
        <v>7033.13187705164</v>
      </c>
      <c r="C24">
        <v>134.648537635803</v>
      </c>
      <c r="D24">
        <v>0.74999856778289997</v>
      </c>
      <c r="E24" s="3">
        <v>6392.3527955814998</v>
      </c>
      <c r="F24">
        <v>121.618919795236</v>
      </c>
      <c r="G24">
        <v>0.80897774369873499</v>
      </c>
      <c r="H24" s="3">
        <v>5425.0575745966398</v>
      </c>
      <c r="I24">
        <v>132.264721838843</v>
      </c>
      <c r="J24">
        <v>0.69318587596602799</v>
      </c>
      <c r="K24" s="3">
        <v>7152.18349068302</v>
      </c>
      <c r="L24">
        <v>136.941255869918</v>
      </c>
      <c r="M24">
        <v>0.95426341302569295</v>
      </c>
      <c r="N24" s="3">
        <v>6091.4820198829802</v>
      </c>
      <c r="O24">
        <v>130.60712741771999</v>
      </c>
      <c r="P24">
        <v>0.67623710785678304</v>
      </c>
      <c r="R24" s="4" t="s">
        <v>37</v>
      </c>
    </row>
    <row r="25" spans="1:18" x14ac:dyDescent="0.2">
      <c r="A25">
        <v>812</v>
      </c>
      <c r="B25" s="3">
        <v>28776.7728558989</v>
      </c>
      <c r="C25">
        <v>110.860347747802</v>
      </c>
      <c r="D25">
        <v>1.94264939985954</v>
      </c>
      <c r="E25" s="3">
        <v>25246.989055296301</v>
      </c>
      <c r="F25">
        <v>87.441142348662893</v>
      </c>
      <c r="G25">
        <v>1.9372161433797701</v>
      </c>
      <c r="H25" s="3">
        <v>23914.312817064001</v>
      </c>
      <c r="I25">
        <v>88.1953243161432</v>
      </c>
      <c r="J25">
        <v>1.8648036496369</v>
      </c>
      <c r="K25" s="3">
        <v>25874.039935422999</v>
      </c>
      <c r="L25">
        <v>96.501238840501301</v>
      </c>
      <c r="M25">
        <v>2.4333025059032298</v>
      </c>
      <c r="N25" s="3">
        <v>24508.378269749101</v>
      </c>
      <c r="O25">
        <v>87.640974236445601</v>
      </c>
      <c r="P25">
        <v>1.8760608055750601</v>
      </c>
      <c r="R25" s="4" t="s">
        <v>39</v>
      </c>
    </row>
    <row r="26" spans="1:18" x14ac:dyDescent="0.2">
      <c r="A26">
        <v>816</v>
      </c>
      <c r="B26" s="3">
        <v>5508.4093892883402</v>
      </c>
      <c r="C26">
        <v>200</v>
      </c>
      <c r="D26">
        <v>0.35093775959985302</v>
      </c>
      <c r="E26" s="3">
        <v>5744.0279621826703</v>
      </c>
      <c r="F26">
        <v>163.98991841072501</v>
      </c>
      <c r="G26">
        <v>0.36798252511766899</v>
      </c>
      <c r="H26" s="3">
        <v>8025.0630763081799</v>
      </c>
      <c r="I26">
        <v>180.727221648843</v>
      </c>
      <c r="J26">
        <v>0.57088228571691002</v>
      </c>
      <c r="K26" s="3">
        <v>2276.3354001000298</v>
      </c>
      <c r="L26">
        <v>165.943681818426</v>
      </c>
      <c r="M26">
        <v>0.16650322832395101</v>
      </c>
      <c r="N26" s="3">
        <v>2190.74885507103</v>
      </c>
      <c r="O26">
        <v>171.72849125777</v>
      </c>
      <c r="P26">
        <v>0.14176216755740301</v>
      </c>
      <c r="R26" s="17" t="s">
        <v>134</v>
      </c>
    </row>
    <row r="27" spans="1:18" x14ac:dyDescent="0.2">
      <c r="A27">
        <v>822</v>
      </c>
      <c r="B27" s="3">
        <v>24956.386917981501</v>
      </c>
      <c r="C27">
        <v>145.935666561126</v>
      </c>
      <c r="D27">
        <v>0.79546774429810296</v>
      </c>
      <c r="E27" s="3">
        <v>27464.9795929213</v>
      </c>
      <c r="F27">
        <v>117.853039235164</v>
      </c>
      <c r="G27">
        <v>0.73394217883056201</v>
      </c>
      <c r="H27" s="3">
        <v>18424.7150113118</v>
      </c>
      <c r="I27">
        <v>112.792232885486</v>
      </c>
      <c r="J27">
        <v>0.51635834963580995</v>
      </c>
      <c r="K27" s="3">
        <v>21318.403681733998</v>
      </c>
      <c r="L27">
        <v>107.28922266898</v>
      </c>
      <c r="M27">
        <v>0.69457811906997302</v>
      </c>
      <c r="N27" s="3">
        <v>20116.419902034399</v>
      </c>
      <c r="O27">
        <v>113.97112114901699</v>
      </c>
      <c r="P27">
        <v>0.54922057999803298</v>
      </c>
      <c r="R27" s="4" t="s">
        <v>115</v>
      </c>
    </row>
    <row r="28" spans="1:18" x14ac:dyDescent="0.2">
      <c r="A28">
        <v>827</v>
      </c>
      <c r="B28" s="3">
        <v>78730.5781510589</v>
      </c>
      <c r="C28">
        <v>118.85894536972</v>
      </c>
      <c r="D28">
        <v>1.1365040949654099</v>
      </c>
      <c r="E28" s="3">
        <v>82190.067771210102</v>
      </c>
      <c r="F28">
        <v>103.70931982881601</v>
      </c>
      <c r="G28">
        <v>1.34332111269333</v>
      </c>
      <c r="H28" s="3">
        <v>74206.906655085797</v>
      </c>
      <c r="I28">
        <v>101.569487872034</v>
      </c>
      <c r="J28">
        <v>1.1352500552553499</v>
      </c>
      <c r="K28" s="3">
        <v>89283.831310776994</v>
      </c>
      <c r="L28">
        <v>123.711226079874</v>
      </c>
      <c r="M28">
        <v>1.40561651196765</v>
      </c>
      <c r="N28" s="3">
        <v>71621.733549786295</v>
      </c>
      <c r="O28">
        <v>102.341475093489</v>
      </c>
      <c r="P28">
        <v>1.0792393862449201</v>
      </c>
      <c r="R28" s="4" t="s">
        <v>113</v>
      </c>
    </row>
    <row r="29" spans="1:18" x14ac:dyDescent="0.2">
      <c r="A29">
        <v>838</v>
      </c>
      <c r="B29" s="3">
        <v>11337.1682531397</v>
      </c>
      <c r="C29">
        <v>124.540698528289</v>
      </c>
      <c r="D29">
        <v>0.98904935043803499</v>
      </c>
      <c r="E29" s="3">
        <v>10118.810978817801</v>
      </c>
      <c r="F29">
        <v>96.573023574976304</v>
      </c>
      <c r="G29">
        <v>1.0686986186384599</v>
      </c>
      <c r="H29" s="3">
        <v>8619.68464494828</v>
      </c>
      <c r="I29">
        <v>91.150268061694703</v>
      </c>
      <c r="J29">
        <v>0.91980387636898797</v>
      </c>
      <c r="K29" s="3">
        <v>10150.6301329217</v>
      </c>
      <c r="L29">
        <v>93.242975092976295</v>
      </c>
      <c r="M29">
        <v>0.965468065056167</v>
      </c>
      <c r="N29" s="3">
        <v>8163.7049043220404</v>
      </c>
      <c r="O29">
        <v>81.631891404160299</v>
      </c>
      <c r="P29">
        <v>0.78437134423994703</v>
      </c>
      <c r="R29" s="4" t="s">
        <v>133</v>
      </c>
    </row>
    <row r="30" spans="1:18" x14ac:dyDescent="0.2">
      <c r="A30">
        <v>876</v>
      </c>
      <c r="B30" s="3">
        <v>4235.0600940246404</v>
      </c>
      <c r="C30">
        <v>200</v>
      </c>
      <c r="D30">
        <v>0.81890542905559005</v>
      </c>
      <c r="E30" s="3">
        <v>1937.40167626628</v>
      </c>
      <c r="F30">
        <v>200</v>
      </c>
      <c r="G30">
        <v>0.37462249153620603</v>
      </c>
      <c r="H30" s="3">
        <v>1275.32</v>
      </c>
      <c r="I30">
        <v>200</v>
      </c>
      <c r="J30">
        <v>0.24660015615692499</v>
      </c>
      <c r="K30" s="3">
        <v>1802.97611125241</v>
      </c>
      <c r="L30">
        <v>200</v>
      </c>
      <c r="M30">
        <v>0.348629513049315</v>
      </c>
      <c r="N30" s="3">
        <v>1534.13256835937</v>
      </c>
      <c r="O30">
        <v>200</v>
      </c>
      <c r="P30">
        <v>0.29664502314936297</v>
      </c>
    </row>
    <row r="31" spans="1:18" x14ac:dyDescent="0.2">
      <c r="A31">
        <v>877</v>
      </c>
      <c r="B31" s="3">
        <v>1927.29583873363</v>
      </c>
      <c r="C31">
        <v>186.17625236511199</v>
      </c>
      <c r="D31">
        <v>0.66591897462013705</v>
      </c>
      <c r="E31" s="3">
        <v>1979.0465472251301</v>
      </c>
      <c r="F31">
        <v>166.113674015681</v>
      </c>
      <c r="G31">
        <v>0.497582408090738</v>
      </c>
      <c r="H31" s="3">
        <v>2075.75338234632</v>
      </c>
      <c r="I31">
        <v>173.29530083723299</v>
      </c>
      <c r="J31">
        <v>0.64410610733330997</v>
      </c>
      <c r="K31" s="3">
        <v>1958.63140078131</v>
      </c>
      <c r="L31">
        <v>171.490430062928</v>
      </c>
      <c r="M31">
        <v>0.57216793491655604</v>
      </c>
      <c r="N31" s="3">
        <v>2098.5593409774301</v>
      </c>
      <c r="O31">
        <v>170.11936913812499</v>
      </c>
      <c r="P31">
        <v>0.50145873132096297</v>
      </c>
    </row>
    <row r="32" spans="1:18" x14ac:dyDescent="0.2">
      <c r="A32">
        <v>888</v>
      </c>
      <c r="B32" s="3">
        <v>5096.0830056034201</v>
      </c>
      <c r="C32">
        <v>101.488137245178</v>
      </c>
      <c r="D32">
        <v>0.53647708832579699</v>
      </c>
      <c r="E32" s="3">
        <v>5036.2184129450998</v>
      </c>
      <c r="F32">
        <v>96.403316844402696</v>
      </c>
      <c r="G32">
        <v>0.54947203951392798</v>
      </c>
      <c r="H32" s="3">
        <v>5115.5815227883204</v>
      </c>
      <c r="I32">
        <v>95.060966389990696</v>
      </c>
      <c r="J32">
        <v>0.53463612299633401</v>
      </c>
      <c r="K32" s="3">
        <v>5097.0249416187398</v>
      </c>
      <c r="L32">
        <v>91.046120320747306</v>
      </c>
      <c r="M32">
        <v>0.56905930114041703</v>
      </c>
      <c r="N32" s="3">
        <v>4876.9125587200497</v>
      </c>
      <c r="O32">
        <v>100.775737542588</v>
      </c>
      <c r="P32">
        <v>0.45232751026711998</v>
      </c>
    </row>
    <row r="33" spans="1:16" x14ac:dyDescent="0.2">
      <c r="A33">
        <v>890</v>
      </c>
      <c r="B33" s="3">
        <v>9455.0485985001596</v>
      </c>
      <c r="C33">
        <v>71.701157093048096</v>
      </c>
      <c r="D33">
        <v>0.71719634913918895</v>
      </c>
      <c r="E33" s="3">
        <v>6860.7628469527199</v>
      </c>
      <c r="F33">
        <v>62.753118508957797</v>
      </c>
      <c r="G33">
        <v>0.48869321768125001</v>
      </c>
      <c r="H33" s="3">
        <v>6645.1981169299897</v>
      </c>
      <c r="I33">
        <v>57.8519166729997</v>
      </c>
      <c r="J33">
        <v>0.53482785356058005</v>
      </c>
      <c r="K33" s="3">
        <v>8336.0798053861108</v>
      </c>
      <c r="L33">
        <v>71.284946980195002</v>
      </c>
      <c r="M33">
        <v>0.61060893102269198</v>
      </c>
      <c r="N33" s="3">
        <v>7609.34265972091</v>
      </c>
      <c r="O33">
        <v>57.313678589265898</v>
      </c>
      <c r="P33">
        <v>0.52965949155732495</v>
      </c>
    </row>
    <row r="34" spans="1:16" ht="56" customHeight="1" x14ac:dyDescent="0.2">
      <c r="A34" s="2" t="s">
        <v>81</v>
      </c>
      <c r="B34" s="3">
        <f>AVERAGE(B2:B33)</f>
        <v>28230.868025565942</v>
      </c>
      <c r="C34" s="3">
        <f t="shared" ref="C34:P34" si="0">AVERAGE(C2:C33)</f>
        <v>137.58186511695345</v>
      </c>
      <c r="D34" s="3">
        <f t="shared" si="0"/>
        <v>0.9134207442923904</v>
      </c>
      <c r="E34" s="3">
        <f t="shared" si="0"/>
        <v>21756.51288526904</v>
      </c>
      <c r="F34" s="3">
        <f t="shared" si="0"/>
        <v>122.5762731622614</v>
      </c>
      <c r="G34" s="3">
        <f t="shared" si="0"/>
        <v>0.73957392432502678</v>
      </c>
      <c r="H34" s="3">
        <f t="shared" si="0"/>
        <v>20126.761978818402</v>
      </c>
      <c r="I34" s="3">
        <f t="shared" si="0"/>
        <v>124.12918532868292</v>
      </c>
      <c r="J34" s="3">
        <f t="shared" si="0"/>
        <v>0.74250122151795517</v>
      </c>
      <c r="K34" s="3">
        <f t="shared" si="0"/>
        <v>22479.939948198258</v>
      </c>
      <c r="L34" s="3">
        <f t="shared" si="0"/>
        <v>126.65452821670503</v>
      </c>
      <c r="M34" s="3">
        <f t="shared" si="0"/>
        <v>0.83580848744339586</v>
      </c>
      <c r="N34" s="3">
        <f t="shared" si="0"/>
        <v>21052.935210543146</v>
      </c>
      <c r="O34" s="3">
        <f t="shared" si="0"/>
        <v>125.1083550096586</v>
      </c>
      <c r="P34" s="3">
        <f t="shared" si="0"/>
        <v>0.68925044733746832</v>
      </c>
    </row>
    <row r="37" spans="1:16" x14ac:dyDescent="0.2">
      <c r="A37" t="s">
        <v>89</v>
      </c>
    </row>
    <row r="38" spans="1:16" ht="51" x14ac:dyDescent="0.2">
      <c r="A38" s="1" t="s">
        <v>0</v>
      </c>
      <c r="B38" s="2" t="s">
        <v>1</v>
      </c>
      <c r="C38" s="1" t="s">
        <v>2</v>
      </c>
      <c r="D38" s="1" t="s">
        <v>3</v>
      </c>
      <c r="E38" s="2" t="s">
        <v>4</v>
      </c>
      <c r="F38" s="1" t="s">
        <v>5</v>
      </c>
      <c r="G38" s="1" t="s">
        <v>6</v>
      </c>
      <c r="H38" s="2" t="s">
        <v>7</v>
      </c>
      <c r="I38" s="1" t="s">
        <v>8</v>
      </c>
      <c r="J38" s="1" t="s">
        <v>9</v>
      </c>
      <c r="K38" s="2" t="s">
        <v>10</v>
      </c>
      <c r="L38" s="1" t="s">
        <v>11</v>
      </c>
      <c r="M38" s="1" t="s">
        <v>12</v>
      </c>
      <c r="N38" s="2" t="s">
        <v>13</v>
      </c>
      <c r="O38" s="1" t="s">
        <v>14</v>
      </c>
      <c r="P38" s="1" t="s">
        <v>15</v>
      </c>
    </row>
    <row r="39" spans="1:16" x14ac:dyDescent="0.2">
      <c r="A39">
        <v>47</v>
      </c>
      <c r="B39" s="3">
        <f t="shared" ref="B39:B70" si="1">B2/MIN($B2,$E2,$H2,$K2,$N2)</f>
        <v>1.1817319584119981</v>
      </c>
      <c r="C39" s="5">
        <f>C2</f>
        <v>132.219624519348</v>
      </c>
      <c r="D39" s="5">
        <f>D2</f>
        <v>0.59396553542377195</v>
      </c>
      <c r="E39" s="3">
        <f t="shared" ref="E39:E70" si="2">E2/MIN($B2,$E2,$H2,$K2,$N2)</f>
        <v>1.1633833679673766</v>
      </c>
      <c r="F39" s="5">
        <f>F2</f>
        <v>124.46870657701101</v>
      </c>
      <c r="G39" s="5">
        <f>G2</f>
        <v>0.59550928053681895</v>
      </c>
      <c r="H39" s="3">
        <f t="shared" ref="H39:H70" si="3">H2/MIN($B2,$E2,$H2,$K2,$N2)</f>
        <v>1.0883054055993862</v>
      </c>
      <c r="I39" s="5">
        <f>I2</f>
        <v>130.45692446643201</v>
      </c>
      <c r="J39" s="5">
        <f>J2</f>
        <v>0.60305350971365301</v>
      </c>
      <c r="K39" s="3">
        <f t="shared" ref="K39:K70" si="4">K2/MIN($B2,$E2,$H2,$K2,$N2)</f>
        <v>1.0546477534072634</v>
      </c>
      <c r="L39" s="5">
        <f>L2</f>
        <v>124.30806762910299</v>
      </c>
      <c r="M39" s="5">
        <f>M2</f>
        <v>0.60157023265836895</v>
      </c>
      <c r="N39" s="3">
        <f t="shared" ref="N39:N70" si="5">N2/MIN($B2,$E2,$H2,$K2,$N2)</f>
        <v>1</v>
      </c>
      <c r="O39" s="5">
        <f>O2</f>
        <v>126.94902600920901</v>
      </c>
      <c r="P39" s="5">
        <f>P2</f>
        <v>0.54012622985545</v>
      </c>
    </row>
    <row r="40" spans="1:16" x14ac:dyDescent="0.2">
      <c r="A40">
        <v>65</v>
      </c>
      <c r="B40" s="3">
        <f t="shared" si="1"/>
        <v>1.520957763267226</v>
      </c>
      <c r="C40" s="5">
        <f t="shared" ref="C40:D40" si="6">C3</f>
        <v>189.78846073150601</v>
      </c>
      <c r="D40" s="5">
        <f t="shared" si="6"/>
        <v>1.3949198090489101</v>
      </c>
      <c r="E40" s="3">
        <f t="shared" si="2"/>
        <v>1.0717553189670235</v>
      </c>
      <c r="F40" s="5">
        <f t="shared" ref="F40:G40" si="7">F3</f>
        <v>179.19803551747</v>
      </c>
      <c r="G40" s="5">
        <f t="shared" si="7"/>
        <v>0.99346582017927998</v>
      </c>
      <c r="H40" s="3">
        <f t="shared" si="3"/>
        <v>1</v>
      </c>
      <c r="I40" s="5">
        <f t="shared" ref="I40:J40" si="8">I3</f>
        <v>170.64428123244801</v>
      </c>
      <c r="J40" s="5">
        <f t="shared" si="8"/>
        <v>0.92300771704745699</v>
      </c>
      <c r="K40" s="3">
        <f t="shared" si="4"/>
        <v>1.0163120900263143</v>
      </c>
      <c r="L40" s="5">
        <f t="shared" ref="L40:M40" si="9">L3</f>
        <v>173.17076411978101</v>
      </c>
      <c r="M40" s="5">
        <f t="shared" si="9"/>
        <v>1.0834087089661</v>
      </c>
      <c r="N40" s="3">
        <f t="shared" si="5"/>
        <v>1.0063441342255355</v>
      </c>
      <c r="O40" s="5">
        <f t="shared" ref="O40:P40" si="10">O3</f>
        <v>176.070166514269</v>
      </c>
      <c r="P40" s="5">
        <f t="shared" si="10"/>
        <v>0.86910877490564098</v>
      </c>
    </row>
    <row r="41" spans="1:16" x14ac:dyDescent="0.2">
      <c r="A41">
        <v>98</v>
      </c>
      <c r="B41" s="3">
        <f t="shared" si="1"/>
        <v>2.5499289720098659</v>
      </c>
      <c r="C41" s="5">
        <f t="shared" ref="C41:D41" si="11">C4</f>
        <v>194.01135444641099</v>
      </c>
      <c r="D41" s="5">
        <f t="shared" si="11"/>
        <v>0.76735641463575799</v>
      </c>
      <c r="E41" s="3">
        <f t="shared" si="2"/>
        <v>1</v>
      </c>
      <c r="F41" s="5">
        <f t="shared" ref="F41:G41" si="12">F4</f>
        <v>198.655282308875</v>
      </c>
      <c r="G41" s="5">
        <f t="shared" si="12"/>
        <v>0.34840919764515299</v>
      </c>
      <c r="H41" s="3">
        <f t="shared" si="3"/>
        <v>2.1061086863505389</v>
      </c>
      <c r="I41" s="5">
        <f t="shared" ref="I41:J41" si="13">I4</f>
        <v>194.31379005127101</v>
      </c>
      <c r="J41" s="5">
        <f t="shared" si="13"/>
        <v>0.86169713892075095</v>
      </c>
      <c r="K41" s="3">
        <f t="shared" si="4"/>
        <v>2.9484171767891794</v>
      </c>
      <c r="L41" s="5">
        <f t="shared" ref="L41:M41" si="14">L4</f>
        <v>195.16938995100099</v>
      </c>
      <c r="M41" s="5">
        <f t="shared" si="14"/>
        <v>1.2083759474989899</v>
      </c>
      <c r="N41" s="3">
        <f t="shared" si="5"/>
        <v>1.7014081608804417</v>
      </c>
      <c r="O41" s="5">
        <f t="shared" ref="O41:P41" si="15">O4</f>
        <v>193.895939664037</v>
      </c>
      <c r="P41" s="5">
        <f t="shared" si="15"/>
        <v>0.69009713171007503</v>
      </c>
    </row>
    <row r="42" spans="1:16" x14ac:dyDescent="0.2">
      <c r="A42">
        <v>114</v>
      </c>
      <c r="B42" s="3">
        <f t="shared" si="1"/>
        <v>1.5813525882591617</v>
      </c>
      <c r="C42" s="5">
        <f t="shared" ref="C42:D42" si="16">C5</f>
        <v>77.6458740234375</v>
      </c>
      <c r="D42" s="5">
        <f t="shared" si="16"/>
        <v>0.97189005345925406</v>
      </c>
      <c r="E42" s="3">
        <f t="shared" si="2"/>
        <v>1.2309123152675814</v>
      </c>
      <c r="F42" s="5">
        <f t="shared" ref="F42:G42" si="17">F5</f>
        <v>52.295170773032503</v>
      </c>
      <c r="G42" s="5">
        <f t="shared" si="17"/>
        <v>0.6589834757659</v>
      </c>
      <c r="H42" s="3">
        <f t="shared" si="3"/>
        <v>1.0429505236080863</v>
      </c>
      <c r="I42" s="5">
        <f t="shared" ref="I42:J42" si="18">I5</f>
        <v>46.451581050085501</v>
      </c>
      <c r="J42" s="5">
        <f t="shared" si="18"/>
        <v>0.55644885728289395</v>
      </c>
      <c r="K42" s="3">
        <f t="shared" si="4"/>
        <v>1</v>
      </c>
      <c r="L42" s="5">
        <f t="shared" ref="L42:M42" si="19">L5</f>
        <v>44.1150765400278</v>
      </c>
      <c r="M42" s="5">
        <f t="shared" si="19"/>
        <v>0.56151781205343299</v>
      </c>
      <c r="N42" s="3">
        <f t="shared" si="5"/>
        <v>1.1420141458673696</v>
      </c>
      <c r="O42" s="5">
        <f t="shared" ref="O42:P42" si="20">O5</f>
        <v>54.425498067664499</v>
      </c>
      <c r="P42" s="5">
        <f t="shared" si="20"/>
        <v>0.64789755593029597</v>
      </c>
    </row>
    <row r="43" spans="1:16" x14ac:dyDescent="0.2">
      <c r="A43">
        <v>123</v>
      </c>
      <c r="B43" s="3">
        <f t="shared" si="1"/>
        <v>1.2361362521143653</v>
      </c>
      <c r="C43" s="5">
        <f t="shared" ref="C43:D43" si="21">C6</f>
        <v>137.846982479095</v>
      </c>
      <c r="D43" s="5">
        <f t="shared" si="21"/>
        <v>1.20794190011592</v>
      </c>
      <c r="E43" s="3">
        <f t="shared" si="2"/>
        <v>1</v>
      </c>
      <c r="F43" s="5">
        <f t="shared" ref="F43:G43" si="22">F6</f>
        <v>121.95017267975</v>
      </c>
      <c r="G43" s="5">
        <f t="shared" si="22"/>
        <v>0.99921980378140496</v>
      </c>
      <c r="H43" s="3">
        <f t="shared" si="3"/>
        <v>1.0699380712862285</v>
      </c>
      <c r="I43" s="5">
        <f t="shared" ref="I43:J43" si="23">I6</f>
        <v>126.86941620351899</v>
      </c>
      <c r="J43" s="5">
        <f t="shared" si="23"/>
        <v>1.05251026948579</v>
      </c>
      <c r="K43" s="3">
        <f t="shared" si="4"/>
        <v>1.0959989390495288</v>
      </c>
      <c r="L43" s="5">
        <f t="shared" ref="L43:M43" si="24">L6</f>
        <v>131.11795764116499</v>
      </c>
      <c r="M43" s="5">
        <f t="shared" si="24"/>
        <v>1.0349773264147799</v>
      </c>
      <c r="N43" s="3">
        <f t="shared" si="5"/>
        <v>1.0979863837045871</v>
      </c>
      <c r="O43" s="5">
        <f t="shared" ref="O43:P43" si="25">O6</f>
        <v>126.220739833926</v>
      </c>
      <c r="P43" s="5">
        <f t="shared" si="25"/>
        <v>1.01274891126291</v>
      </c>
    </row>
    <row r="44" spans="1:16" x14ac:dyDescent="0.2">
      <c r="A44">
        <v>168</v>
      </c>
      <c r="B44" s="3">
        <f t="shared" si="1"/>
        <v>1</v>
      </c>
      <c r="C44" s="5">
        <f t="shared" ref="C44:D44" si="26">C7</f>
        <v>139.58247900009101</v>
      </c>
      <c r="D44" s="5">
        <f t="shared" si="26"/>
        <v>0.96636859702260702</v>
      </c>
      <c r="E44" s="3">
        <f t="shared" si="2"/>
        <v>1.2851403855659502</v>
      </c>
      <c r="F44" s="5">
        <f t="shared" ref="F44:G44" si="27">F7</f>
        <v>139.36390958595899</v>
      </c>
      <c r="G44" s="5">
        <f t="shared" si="27"/>
        <v>1.3221926509023001</v>
      </c>
      <c r="H44" s="3">
        <f t="shared" si="3"/>
        <v>1.0752630117791391</v>
      </c>
      <c r="I44" s="5">
        <f t="shared" ref="I44:J44" si="28">I7</f>
        <v>127.874714456736</v>
      </c>
      <c r="J44" s="5">
        <f t="shared" si="28"/>
        <v>0.99839910301191204</v>
      </c>
      <c r="K44" s="3">
        <f t="shared" si="4"/>
        <v>1.0959100136523461</v>
      </c>
      <c r="L44" s="5">
        <f t="shared" ref="L44:M44" si="29">L7</f>
        <v>146.204270060455</v>
      </c>
      <c r="M44" s="5">
        <f t="shared" si="29"/>
        <v>1.25137823955464</v>
      </c>
      <c r="N44" s="3">
        <f t="shared" si="5"/>
        <v>1.063223830911276</v>
      </c>
      <c r="O44" s="5">
        <f t="shared" ref="O44:P44" si="30">O7</f>
        <v>130.22356073498901</v>
      </c>
      <c r="P44" s="5">
        <f t="shared" si="30"/>
        <v>1.0950115111032499</v>
      </c>
    </row>
    <row r="45" spans="1:16" x14ac:dyDescent="0.2">
      <c r="A45">
        <v>172</v>
      </c>
      <c r="B45" s="3">
        <f t="shared" si="1"/>
        <v>1.3324441451963027</v>
      </c>
      <c r="C45" s="5">
        <f t="shared" ref="C45:D45" si="31">C8</f>
        <v>118.99974346160801</v>
      </c>
      <c r="D45" s="5">
        <f t="shared" si="31"/>
        <v>0.78438601468384495</v>
      </c>
      <c r="E45" s="3">
        <f t="shared" si="2"/>
        <v>1.0343902075600366</v>
      </c>
      <c r="F45" s="5">
        <f t="shared" ref="F45:G45" si="32">F8</f>
        <v>122.744314063288</v>
      </c>
      <c r="G45" s="5">
        <f t="shared" si="32"/>
        <v>0.78170999555890597</v>
      </c>
      <c r="H45" s="3">
        <f t="shared" si="3"/>
        <v>1.0511573447657487</v>
      </c>
      <c r="I45" s="5">
        <f t="shared" ref="I45:J45" si="33">I8</f>
        <v>123.797360997243</v>
      </c>
      <c r="J45" s="5">
        <f t="shared" si="33"/>
        <v>0.81013831541589598</v>
      </c>
      <c r="K45" s="3">
        <f t="shared" si="4"/>
        <v>1.2748260575884935</v>
      </c>
      <c r="L45" s="5">
        <f t="shared" ref="L45:M45" si="34">L8</f>
        <v>136.70287947818099</v>
      </c>
      <c r="M45" s="5">
        <f t="shared" si="34"/>
        <v>1.1784128787424799</v>
      </c>
      <c r="N45" s="3">
        <f t="shared" si="5"/>
        <v>1</v>
      </c>
      <c r="O45" s="5">
        <f t="shared" ref="O45:P45" si="35">O8</f>
        <v>122.75566633198</v>
      </c>
      <c r="P45" s="5">
        <f t="shared" si="35"/>
        <v>0.73550366282849799</v>
      </c>
    </row>
    <row r="46" spans="1:16" x14ac:dyDescent="0.2">
      <c r="A46">
        <v>185</v>
      </c>
      <c r="B46" s="3">
        <f t="shared" si="1"/>
        <v>1</v>
      </c>
      <c r="C46" s="5">
        <f t="shared" ref="C46:D46" si="36">C9</f>
        <v>103.742384910583</v>
      </c>
      <c r="D46" s="5">
        <f t="shared" si="36"/>
        <v>0.81199436358442201</v>
      </c>
      <c r="E46" s="3">
        <f t="shared" si="2"/>
        <v>1.0751866056009163</v>
      </c>
      <c r="F46" s="5">
        <f t="shared" ref="F46:G46" si="37">F9</f>
        <v>97.700367494684201</v>
      </c>
      <c r="G46" s="5">
        <f t="shared" si="37"/>
        <v>0.85835183006424198</v>
      </c>
      <c r="H46" s="3">
        <f t="shared" si="3"/>
        <v>1.0551859547458109</v>
      </c>
      <c r="I46" s="5">
        <f t="shared" ref="I46:J46" si="38">I9</f>
        <v>99.117633102045303</v>
      </c>
      <c r="J46" s="5">
        <f t="shared" si="38"/>
        <v>0.82237192374713097</v>
      </c>
      <c r="K46" s="3">
        <f t="shared" si="4"/>
        <v>1.0313156624798596</v>
      </c>
      <c r="L46" s="5">
        <f t="shared" ref="L46:M46" si="39">L9</f>
        <v>98.797892674946198</v>
      </c>
      <c r="M46" s="5">
        <f t="shared" si="39"/>
        <v>0.76931696446269604</v>
      </c>
      <c r="N46" s="3">
        <f t="shared" si="5"/>
        <v>1.0546019165049936</v>
      </c>
      <c r="O46" s="5">
        <f t="shared" ref="O46:P46" si="40">O9</f>
        <v>97.680347369800202</v>
      </c>
      <c r="P46" s="5">
        <f t="shared" si="40"/>
        <v>0.78999182451771699</v>
      </c>
    </row>
    <row r="47" spans="1:16" x14ac:dyDescent="0.2">
      <c r="A47">
        <v>195</v>
      </c>
      <c r="B47" s="3">
        <f t="shared" si="1"/>
        <v>1.4943750416175889</v>
      </c>
      <c r="C47" s="5">
        <f t="shared" ref="C47:D47" si="41">C10</f>
        <v>132.339572906494</v>
      </c>
      <c r="D47" s="5">
        <f t="shared" si="41"/>
        <v>0.86932107474218101</v>
      </c>
      <c r="E47" s="3">
        <f t="shared" si="2"/>
        <v>1</v>
      </c>
      <c r="F47" s="5">
        <f t="shared" ref="F47:G47" si="42">F10</f>
        <v>90.783409211563495</v>
      </c>
      <c r="G47" s="5">
        <f t="shared" si="42"/>
        <v>0.52772235836524095</v>
      </c>
      <c r="H47" s="3">
        <f t="shared" si="3"/>
        <v>1.0331241202191195</v>
      </c>
      <c r="I47" s="5">
        <f t="shared" ref="I47:J47" si="43">I10</f>
        <v>91.070637256498799</v>
      </c>
      <c r="J47" s="5">
        <f t="shared" si="43"/>
        <v>0.55381013139393298</v>
      </c>
      <c r="K47" s="3">
        <f t="shared" si="4"/>
        <v>1.1953411342721898</v>
      </c>
      <c r="L47" s="5">
        <f t="shared" ref="L47:M47" si="44">L10</f>
        <v>101.586474009127</v>
      </c>
      <c r="M47" s="5">
        <f t="shared" si="44"/>
        <v>0.66681489719751497</v>
      </c>
      <c r="N47" s="3">
        <f t="shared" si="5"/>
        <v>1.182203077782457</v>
      </c>
      <c r="O47" s="5">
        <f t="shared" ref="O47:P47" si="45">O10</f>
        <v>102.35986525652</v>
      </c>
      <c r="P47" s="5">
        <f t="shared" si="45"/>
        <v>0.66386652828077497</v>
      </c>
    </row>
    <row r="48" spans="1:16" x14ac:dyDescent="0.2">
      <c r="A48">
        <v>197</v>
      </c>
      <c r="B48" s="3">
        <f t="shared" si="1"/>
        <v>1.0908315400976227</v>
      </c>
      <c r="C48" s="5">
        <f t="shared" ref="C48:D48" si="46">C11</f>
        <v>138.58462572097699</v>
      </c>
      <c r="D48" s="5">
        <f t="shared" si="46"/>
        <v>0.78130677961881001</v>
      </c>
      <c r="E48" s="3">
        <f t="shared" si="2"/>
        <v>1.0812422232371797</v>
      </c>
      <c r="F48" s="5">
        <f t="shared" ref="F48:G48" si="47">F11</f>
        <v>139.818165296465</v>
      </c>
      <c r="G48" s="5">
        <f t="shared" si="47"/>
        <v>0.83446832872863996</v>
      </c>
      <c r="H48" s="3">
        <f t="shared" si="3"/>
        <v>1.0335869964112112</v>
      </c>
      <c r="I48" s="5">
        <f t="shared" ref="I48:J48" si="48">I11</f>
        <v>141.96259089524901</v>
      </c>
      <c r="J48" s="5">
        <f t="shared" si="48"/>
        <v>0.85837332580063297</v>
      </c>
      <c r="K48" s="3">
        <f t="shared" si="4"/>
        <v>1</v>
      </c>
      <c r="L48" s="5">
        <f t="shared" ref="L48:M48" si="49">L11</f>
        <v>142.27000779458101</v>
      </c>
      <c r="M48" s="5">
        <f t="shared" si="49"/>
        <v>0.72708692043401102</v>
      </c>
      <c r="N48" s="3">
        <f t="shared" si="5"/>
        <v>1.2404360138596806</v>
      </c>
      <c r="O48" s="5">
        <f t="shared" ref="O48:P48" si="50">O11</f>
        <v>157.466839750943</v>
      </c>
      <c r="P48" s="5">
        <f t="shared" si="50"/>
        <v>0.71572938598198099</v>
      </c>
    </row>
    <row r="49" spans="1:16" x14ac:dyDescent="0.2">
      <c r="A49">
        <v>237</v>
      </c>
      <c r="B49" s="3">
        <f t="shared" si="1"/>
        <v>1.5471140509022927</v>
      </c>
      <c r="C49" s="5">
        <f t="shared" ref="C49:D49" si="51">C12</f>
        <v>128.37004661559999</v>
      </c>
      <c r="D49" s="5">
        <f t="shared" si="51"/>
        <v>0.88645064396580397</v>
      </c>
      <c r="E49" s="3">
        <f t="shared" si="2"/>
        <v>1.2407125817559079</v>
      </c>
      <c r="F49" s="5">
        <f t="shared" ref="F49:G49" si="52">F12</f>
        <v>125.235767098729</v>
      </c>
      <c r="G49" s="5">
        <f t="shared" si="52"/>
        <v>0.54339941350544196</v>
      </c>
      <c r="H49" s="3">
        <f t="shared" si="3"/>
        <v>1</v>
      </c>
      <c r="I49" s="5">
        <f t="shared" ref="I49:J49" si="53">I12</f>
        <v>119.682058030683</v>
      </c>
      <c r="J49" s="5">
        <f t="shared" si="53"/>
        <v>0.59076599587451195</v>
      </c>
      <c r="K49" s="3">
        <f t="shared" si="4"/>
        <v>1.223947044144382</v>
      </c>
      <c r="L49" s="5">
        <f t="shared" ref="L49:M49" si="54">L12</f>
        <v>122.55876505190901</v>
      </c>
      <c r="M49" s="5">
        <f t="shared" si="54"/>
        <v>0.626541567931445</v>
      </c>
      <c r="N49" s="3">
        <f t="shared" si="5"/>
        <v>1.1578969653830624</v>
      </c>
      <c r="O49" s="5">
        <f t="shared" ref="O49:P49" si="55">O12</f>
        <v>102.978370245487</v>
      </c>
      <c r="P49" s="5">
        <f t="shared" si="55"/>
        <v>0.43951112933280201</v>
      </c>
    </row>
    <row r="50" spans="1:16" x14ac:dyDescent="0.2">
      <c r="A50">
        <v>272</v>
      </c>
      <c r="B50" s="3">
        <f t="shared" si="1"/>
        <v>1.4282907557360283</v>
      </c>
      <c r="C50" s="5">
        <f t="shared" ref="C50:D50" si="56">C13</f>
        <v>155.247604846954</v>
      </c>
      <c r="D50" s="5">
        <f t="shared" si="56"/>
        <v>1.0787351305580499</v>
      </c>
      <c r="E50" s="3">
        <f t="shared" si="2"/>
        <v>1.0269798574701214</v>
      </c>
      <c r="F50" s="5">
        <f t="shared" ref="F50:G50" si="57">F13</f>
        <v>145.14119736861201</v>
      </c>
      <c r="G50" s="5">
        <f t="shared" si="57"/>
        <v>0.84864270259796903</v>
      </c>
      <c r="H50" s="3">
        <f t="shared" si="3"/>
        <v>1</v>
      </c>
      <c r="I50" s="5">
        <f t="shared" ref="I50:J50" si="58">I13</f>
        <v>140.634816569837</v>
      </c>
      <c r="J50" s="5">
        <f t="shared" si="58"/>
        <v>0.72421622325206203</v>
      </c>
      <c r="K50" s="3">
        <f t="shared" si="4"/>
        <v>1.0291684928749112</v>
      </c>
      <c r="L50" s="5">
        <f t="shared" ref="L50:M50" si="59">L13</f>
        <v>148.396130939687</v>
      </c>
      <c r="M50" s="5">
        <f t="shared" si="59"/>
        <v>0.89469228623989705</v>
      </c>
      <c r="N50" s="3">
        <f t="shared" si="5"/>
        <v>1.1563118636610419</v>
      </c>
      <c r="O50" s="5">
        <f t="shared" ref="O50:P50" si="60">O13</f>
        <v>152.113581113301</v>
      </c>
      <c r="P50" s="5">
        <f t="shared" si="60"/>
        <v>0.81663795952628504</v>
      </c>
    </row>
    <row r="51" spans="1:16" x14ac:dyDescent="0.2">
      <c r="A51">
        <v>279</v>
      </c>
      <c r="B51" s="3">
        <f t="shared" si="1"/>
        <v>2.1176994756998089</v>
      </c>
      <c r="C51" s="5">
        <f t="shared" ref="C51:D51" si="61">C14</f>
        <v>126.21978521347</v>
      </c>
      <c r="D51" s="5">
        <f t="shared" si="61"/>
        <v>0.97252959817295404</v>
      </c>
      <c r="E51" s="3">
        <f t="shared" si="2"/>
        <v>1.0280919315746784</v>
      </c>
      <c r="F51" s="5">
        <f t="shared" ref="F51:G51" si="62">F14</f>
        <v>91.364041413681093</v>
      </c>
      <c r="G51" s="5">
        <f t="shared" si="62"/>
        <v>0.57707656543660402</v>
      </c>
      <c r="H51" s="3">
        <f t="shared" si="3"/>
        <v>1.0849661415599352</v>
      </c>
      <c r="I51" s="5">
        <f t="shared" ref="I51:J51" si="63">I14</f>
        <v>105.002800057651</v>
      </c>
      <c r="J51" s="5">
        <f t="shared" si="63"/>
        <v>0.586795525769369</v>
      </c>
      <c r="K51" s="3">
        <f t="shared" si="4"/>
        <v>1.361920418720745</v>
      </c>
      <c r="L51" s="5">
        <f t="shared" ref="L51:M51" si="64">L14</f>
        <v>112.896963212689</v>
      </c>
      <c r="M51" s="5">
        <f t="shared" si="64"/>
        <v>0.81900489900941997</v>
      </c>
      <c r="N51" s="3">
        <f t="shared" si="5"/>
        <v>1</v>
      </c>
      <c r="O51" s="5">
        <f t="shared" ref="O51:P51" si="65">O14</f>
        <v>88.045793402269197</v>
      </c>
      <c r="P51" s="5">
        <f t="shared" si="65"/>
        <v>0.51697530143915804</v>
      </c>
    </row>
    <row r="52" spans="1:16" x14ac:dyDescent="0.2">
      <c r="A52">
        <v>709</v>
      </c>
      <c r="B52" s="3">
        <f t="shared" si="1"/>
        <v>2.6463499451502237</v>
      </c>
      <c r="C52" s="5">
        <f t="shared" ref="C52:D52" si="66">C15</f>
        <v>158.053159713745</v>
      </c>
      <c r="D52" s="5">
        <f t="shared" si="66"/>
        <v>4.23702485234006E-2</v>
      </c>
      <c r="E52" s="3">
        <f t="shared" si="2"/>
        <v>1.1278075281499604</v>
      </c>
      <c r="F52" s="5">
        <f t="shared" ref="F52:G52" si="67">F15</f>
        <v>183.67090019803399</v>
      </c>
      <c r="G52" s="5">
        <f t="shared" si="67"/>
        <v>1.2730766131148199E-2</v>
      </c>
      <c r="H52" s="3">
        <f t="shared" si="3"/>
        <v>2.8576523126790763</v>
      </c>
      <c r="I52" s="5">
        <f t="shared" ref="I52:J52" si="68">I15</f>
        <v>167.33492350357</v>
      </c>
      <c r="J52" s="5">
        <f t="shared" si="68"/>
        <v>4.43851140755641E-2</v>
      </c>
      <c r="K52" s="3">
        <f t="shared" si="4"/>
        <v>1</v>
      </c>
      <c r="L52" s="5">
        <f t="shared" ref="L52:M52" si="69">L15</f>
        <v>131.544597698128</v>
      </c>
      <c r="M52" s="5">
        <f t="shared" si="69"/>
        <v>1.2306049661767999E-2</v>
      </c>
      <c r="N52" s="3">
        <f t="shared" si="5"/>
        <v>1.1016371588906568</v>
      </c>
      <c r="O52" s="5">
        <f t="shared" ref="O52:P52" si="70">O15</f>
        <v>174.998309633877</v>
      </c>
      <c r="P52" s="5">
        <f t="shared" si="70"/>
        <v>1.3030927178474899E-2</v>
      </c>
    </row>
    <row r="53" spans="1:16" x14ac:dyDescent="0.2">
      <c r="A53">
        <v>712</v>
      </c>
      <c r="B53" s="3">
        <f t="shared" si="1"/>
        <v>1.2515894040670714</v>
      </c>
      <c r="C53" s="5">
        <f t="shared" ref="C53:D53" si="71">C16</f>
        <v>146.16889953613199</v>
      </c>
      <c r="D53" s="5">
        <f t="shared" si="71"/>
        <v>0.71051829091516105</v>
      </c>
      <c r="E53" s="3">
        <f t="shared" si="2"/>
        <v>1.0539118284233748</v>
      </c>
      <c r="F53" s="5">
        <f t="shared" ref="F53:G53" si="72">F16</f>
        <v>129.52510133865599</v>
      </c>
      <c r="G53" s="5">
        <f t="shared" si="72"/>
        <v>0.66111218449446796</v>
      </c>
      <c r="H53" s="3">
        <f t="shared" si="3"/>
        <v>1</v>
      </c>
      <c r="I53" s="5">
        <f t="shared" ref="I53:J53" si="73">I16</f>
        <v>131.2645609169</v>
      </c>
      <c r="J53" s="5">
        <f t="shared" si="73"/>
        <v>0.61132504798425602</v>
      </c>
      <c r="K53" s="3">
        <f t="shared" si="4"/>
        <v>1.3838798991897332</v>
      </c>
      <c r="L53" s="5">
        <f t="shared" ref="L53:M53" si="74">L16</f>
        <v>137.50930267497901</v>
      </c>
      <c r="M53" s="5">
        <f t="shared" si="74"/>
        <v>1.06316108951955</v>
      </c>
      <c r="N53" s="3">
        <f t="shared" si="5"/>
        <v>1.1250307539640478</v>
      </c>
      <c r="O53" s="5">
        <f t="shared" ref="O53:P53" si="75">O16</f>
        <v>155.35643310359399</v>
      </c>
      <c r="P53" s="5">
        <f t="shared" si="75"/>
        <v>0.58577571588542299</v>
      </c>
    </row>
    <row r="54" spans="1:16" x14ac:dyDescent="0.2">
      <c r="A54">
        <v>714</v>
      </c>
      <c r="B54" s="3">
        <f t="shared" si="1"/>
        <v>4.9500323802138171</v>
      </c>
      <c r="C54" s="5">
        <f t="shared" ref="C54:D54" si="76">C17</f>
        <v>172.99622297286899</v>
      </c>
      <c r="D54" s="5">
        <f t="shared" si="76"/>
        <v>0.96947682531896695</v>
      </c>
      <c r="E54" s="3">
        <f t="shared" si="2"/>
        <v>1</v>
      </c>
      <c r="F54" s="5">
        <f t="shared" ref="F54:G54" si="77">F17</f>
        <v>115.85790890621099</v>
      </c>
      <c r="G54" s="5">
        <f t="shared" si="77"/>
        <v>0.27313364596908402</v>
      </c>
      <c r="H54" s="3">
        <f t="shared" si="3"/>
        <v>2.0229468488079791</v>
      </c>
      <c r="I54" s="5">
        <f t="shared" ref="I54:J54" si="78">I17</f>
        <v>145.39346669917299</v>
      </c>
      <c r="J54" s="5">
        <f t="shared" si="78"/>
        <v>0.52676478560032303</v>
      </c>
      <c r="K54" s="3">
        <f t="shared" si="4"/>
        <v>1.0939078040969759</v>
      </c>
      <c r="L54" s="5">
        <f t="shared" ref="L54:M54" si="79">L17</f>
        <v>155.18595000214299</v>
      </c>
      <c r="M54" s="5">
        <f t="shared" si="79"/>
        <v>0.247491316182226</v>
      </c>
      <c r="N54" s="3">
        <f t="shared" si="5"/>
        <v>1.121539142124087</v>
      </c>
      <c r="O54" s="5">
        <f t="shared" ref="O54:P54" si="80">O17</f>
        <v>160.73456215735999</v>
      </c>
      <c r="P54" s="5">
        <f t="shared" si="80"/>
        <v>0.24701827508238999</v>
      </c>
    </row>
    <row r="55" spans="1:16" x14ac:dyDescent="0.2">
      <c r="A55">
        <v>722</v>
      </c>
      <c r="B55" s="3">
        <f t="shared" si="1"/>
        <v>1.5521024202110236</v>
      </c>
      <c r="C55" s="5">
        <f t="shared" ref="C55:D55" si="81">C18</f>
        <v>135.181605815887</v>
      </c>
      <c r="D55" s="5">
        <f t="shared" si="81"/>
        <v>1.0440688721951299</v>
      </c>
      <c r="E55" s="3">
        <f t="shared" si="2"/>
        <v>1.1677219775238488</v>
      </c>
      <c r="F55" s="5">
        <f t="shared" ref="F55:G55" si="82">F18</f>
        <v>119.58094322038301</v>
      </c>
      <c r="G55" s="5">
        <f t="shared" si="82"/>
        <v>0.83321798769566302</v>
      </c>
      <c r="H55" s="3">
        <f t="shared" si="3"/>
        <v>1</v>
      </c>
      <c r="I55" s="5">
        <f t="shared" ref="I55:J55" si="83">I18</f>
        <v>109.13193784101099</v>
      </c>
      <c r="J55" s="5">
        <f t="shared" si="83"/>
        <v>0.65347365892675702</v>
      </c>
      <c r="K55" s="3">
        <f t="shared" si="4"/>
        <v>1.1449497212959641</v>
      </c>
      <c r="L55" s="5">
        <f t="shared" ref="L55:M55" si="84">L18</f>
        <v>119.66609340729001</v>
      </c>
      <c r="M55" s="5">
        <f t="shared" si="84"/>
        <v>0.76624462485278999</v>
      </c>
      <c r="N55" s="3">
        <f t="shared" si="5"/>
        <v>1.1337895150061554</v>
      </c>
      <c r="O55" s="5">
        <f t="shared" ref="O55:P55" si="85">O18</f>
        <v>121.653146137208</v>
      </c>
      <c r="P55" s="5">
        <f t="shared" si="85"/>
        <v>0.81437007550779605</v>
      </c>
    </row>
    <row r="56" spans="1:16" x14ac:dyDescent="0.2">
      <c r="A56">
        <v>724</v>
      </c>
      <c r="B56" s="3">
        <f t="shared" si="1"/>
        <v>1.5697177058490759</v>
      </c>
      <c r="C56" s="5">
        <f t="shared" ref="C56:D56" si="86">C19</f>
        <v>93.039846420288001</v>
      </c>
      <c r="D56" s="5">
        <f t="shared" si="86"/>
        <v>1.1055784338150201</v>
      </c>
      <c r="E56" s="3">
        <f t="shared" si="2"/>
        <v>1.097828965619565</v>
      </c>
      <c r="F56" s="5">
        <f t="shared" ref="F56:G56" si="87">F19</f>
        <v>62.0953075805023</v>
      </c>
      <c r="G56" s="5">
        <f t="shared" si="87"/>
        <v>0.76970395255276502</v>
      </c>
      <c r="H56" s="3">
        <f t="shared" si="3"/>
        <v>1</v>
      </c>
      <c r="I56" s="5">
        <f t="shared" ref="I56:J56" si="88">I19</f>
        <v>58.621475052870998</v>
      </c>
      <c r="J56" s="5">
        <f t="shared" si="88"/>
        <v>0.69439027036180401</v>
      </c>
      <c r="K56" s="3">
        <f t="shared" si="4"/>
        <v>1.0364641447021905</v>
      </c>
      <c r="L56" s="5">
        <f t="shared" ref="L56:M56" si="89">L19</f>
        <v>63.897926515094902</v>
      </c>
      <c r="M56" s="5">
        <f t="shared" si="89"/>
        <v>0.78100787472615396</v>
      </c>
      <c r="N56" s="3">
        <f t="shared" si="5"/>
        <v>1.0846026417019399</v>
      </c>
      <c r="O56" s="5">
        <f t="shared" ref="O56:P56" si="90">O19</f>
        <v>63.6177494600364</v>
      </c>
      <c r="P56" s="5">
        <f t="shared" si="90"/>
        <v>0.79661470927519396</v>
      </c>
    </row>
    <row r="57" spans="1:16" x14ac:dyDescent="0.2">
      <c r="A57">
        <v>749</v>
      </c>
      <c r="B57" s="3">
        <f t="shared" si="1"/>
        <v>2.6338902994325517</v>
      </c>
      <c r="C57" s="5">
        <f t="shared" ref="C57:D57" si="91">C20</f>
        <v>126.23946666717499</v>
      </c>
      <c r="D57" s="5">
        <f t="shared" si="91"/>
        <v>1.7991066122394901</v>
      </c>
      <c r="E57" s="3">
        <f t="shared" si="2"/>
        <v>1</v>
      </c>
      <c r="F57" s="5">
        <f t="shared" ref="F57:G57" si="92">F20</f>
        <v>104.79200705662301</v>
      </c>
      <c r="G57" s="5">
        <f t="shared" si="92"/>
        <v>0.67526558216079302</v>
      </c>
      <c r="H57" s="3">
        <f t="shared" si="3"/>
        <v>1.1996525353398813</v>
      </c>
      <c r="I57" s="5">
        <f t="shared" ref="I57:J57" si="93">I20</f>
        <v>130.758221783604</v>
      </c>
      <c r="J57" s="5">
        <f t="shared" si="93"/>
        <v>0.94212044663008998</v>
      </c>
      <c r="K57" s="3">
        <f t="shared" si="4"/>
        <v>1.7810793026088476</v>
      </c>
      <c r="L57" s="5">
        <f t="shared" ref="L57:M57" si="94">L20</f>
        <v>143.104161836543</v>
      </c>
      <c r="M57" s="5">
        <f t="shared" si="94"/>
        <v>1.51947333376683</v>
      </c>
      <c r="N57" s="3">
        <f t="shared" si="5"/>
        <v>1.1658938269975836</v>
      </c>
      <c r="O57" s="5">
        <f t="shared" ref="O57:P57" si="95">O20</f>
        <v>108.61843174568</v>
      </c>
      <c r="P57" s="5">
        <f t="shared" si="95"/>
        <v>0.88412499738705397</v>
      </c>
    </row>
    <row r="58" spans="1:16" x14ac:dyDescent="0.2">
      <c r="A58">
        <v>777</v>
      </c>
      <c r="B58" s="3">
        <f t="shared" si="1"/>
        <v>1.5403492228638926</v>
      </c>
      <c r="C58" s="5">
        <f t="shared" ref="C58:D58" si="96">C21</f>
        <v>155.77139854431101</v>
      </c>
      <c r="D58" s="5">
        <f t="shared" si="96"/>
        <v>0.93287443923961899</v>
      </c>
      <c r="E58" s="3">
        <f t="shared" si="2"/>
        <v>1.0309056367880225</v>
      </c>
      <c r="F58" s="5">
        <f t="shared" ref="F58:G58" si="97">F21</f>
        <v>148.45549180987899</v>
      </c>
      <c r="G58" s="5">
        <f t="shared" si="97"/>
        <v>0.83128728193778301</v>
      </c>
      <c r="H58" s="3">
        <f t="shared" si="3"/>
        <v>1.122267022889825</v>
      </c>
      <c r="I58" s="5">
        <f t="shared" ref="I58:J58" si="98">I21</f>
        <v>156.87086533512499</v>
      </c>
      <c r="J58" s="5">
        <f t="shared" si="98"/>
        <v>1.0498149729501001</v>
      </c>
      <c r="K58" s="3">
        <f t="shared" si="4"/>
        <v>1</v>
      </c>
      <c r="L58" s="5">
        <f t="shared" ref="L58:M58" si="99">L21</f>
        <v>149.401202385712</v>
      </c>
      <c r="M58" s="5">
        <f t="shared" si="99"/>
        <v>0.72433078067776002</v>
      </c>
      <c r="N58" s="3">
        <f t="shared" si="5"/>
        <v>1.0228278721977124</v>
      </c>
      <c r="O58" s="5">
        <f t="shared" ref="O58:P58" si="100">O21</f>
        <v>156.552890109793</v>
      </c>
      <c r="P58" s="5">
        <f t="shared" si="100"/>
        <v>0.76187084558371099</v>
      </c>
    </row>
    <row r="59" spans="1:16" x14ac:dyDescent="0.2">
      <c r="A59">
        <v>782</v>
      </c>
      <c r="B59" s="3">
        <f t="shared" si="1"/>
        <v>1.1513296982821632</v>
      </c>
      <c r="C59" s="5">
        <f t="shared" ref="C59:D59" si="101">C22</f>
        <v>129.13485765457099</v>
      </c>
      <c r="D59" s="5">
        <f t="shared" si="101"/>
        <v>0.87566695974495501</v>
      </c>
      <c r="E59" s="3">
        <f t="shared" si="2"/>
        <v>1.082271306636106</v>
      </c>
      <c r="F59" s="5">
        <f t="shared" ref="F59:G59" si="102">F22</f>
        <v>117.390931991899</v>
      </c>
      <c r="G59" s="5">
        <f t="shared" si="102"/>
        <v>0.705667132586836</v>
      </c>
      <c r="H59" s="3">
        <f t="shared" si="3"/>
        <v>1.1740694296573464</v>
      </c>
      <c r="I59" s="5">
        <f t="shared" ref="I59:J59" si="103">I22</f>
        <v>123.60911568952901</v>
      </c>
      <c r="J59" s="5">
        <f t="shared" si="103"/>
        <v>0.81201770788086702</v>
      </c>
      <c r="K59" s="3">
        <f t="shared" si="4"/>
        <v>1.0103293488340448</v>
      </c>
      <c r="L59" s="5">
        <f t="shared" ref="L59:M59" si="104">L22</f>
        <v>123.300103464309</v>
      </c>
      <c r="M59" s="5">
        <f t="shared" si="104"/>
        <v>0.70317401381303202</v>
      </c>
      <c r="N59" s="3">
        <f t="shared" si="5"/>
        <v>1</v>
      </c>
      <c r="O59" s="5">
        <f t="shared" ref="O59:P59" si="105">O22</f>
        <v>120.47583095750301</v>
      </c>
      <c r="P59" s="5">
        <f t="shared" si="105"/>
        <v>0.66401105182215103</v>
      </c>
    </row>
    <row r="60" spans="1:16" x14ac:dyDescent="0.2">
      <c r="A60">
        <v>792</v>
      </c>
      <c r="B60" s="3">
        <f t="shared" si="1"/>
        <v>1.2311269161525609</v>
      </c>
      <c r="C60" s="5">
        <f t="shared" ref="C60:D60" si="106">C23</f>
        <v>117.22594499588</v>
      </c>
      <c r="D60" s="5">
        <f t="shared" si="106"/>
        <v>0.959532462247909</v>
      </c>
      <c r="E60" s="3">
        <f t="shared" si="2"/>
        <v>1.0176132568328686</v>
      </c>
      <c r="F60" s="5">
        <f t="shared" ref="F60:G60" si="107">F23</f>
        <v>95.898137138436098</v>
      </c>
      <c r="G60" s="5">
        <f t="shared" si="107"/>
        <v>0.84458714262376</v>
      </c>
      <c r="H60" s="3">
        <f t="shared" si="3"/>
        <v>1.032314463051712</v>
      </c>
      <c r="I60" s="5">
        <f t="shared" ref="I60:J60" si="108">I23</f>
        <v>98.363318803103596</v>
      </c>
      <c r="J60" s="5">
        <f t="shared" si="108"/>
        <v>0.82370471482167296</v>
      </c>
      <c r="K60" s="3">
        <f t="shared" si="4"/>
        <v>1</v>
      </c>
      <c r="L60" s="5">
        <f t="shared" ref="L60:M60" si="109">L23</f>
        <v>94.589828113163605</v>
      </c>
      <c r="M60" s="5">
        <f t="shared" si="109"/>
        <v>0.78538631034913697</v>
      </c>
      <c r="N60" s="3">
        <f t="shared" si="5"/>
        <v>1.0922035492250128</v>
      </c>
      <c r="O60" s="5">
        <f t="shared" ref="O60:P60" si="110">O23</f>
        <v>94.144746881046999</v>
      </c>
      <c r="P60" s="5">
        <f t="shared" si="110"/>
        <v>0.86900966263503499</v>
      </c>
    </row>
    <row r="61" spans="1:16" x14ac:dyDescent="0.2">
      <c r="A61" s="18">
        <v>804</v>
      </c>
      <c r="B61" s="19">
        <f t="shared" si="1"/>
        <v>1.2964160804458491</v>
      </c>
      <c r="C61" s="20">
        <f t="shared" ref="C61:D61" si="111">C24</f>
        <v>134.648537635803</v>
      </c>
      <c r="D61" s="20">
        <f t="shared" si="111"/>
        <v>0.74999856778289997</v>
      </c>
      <c r="E61" s="19">
        <f t="shared" si="2"/>
        <v>1.1783013742590152</v>
      </c>
      <c r="F61" s="20">
        <f t="shared" ref="F61:G61" si="112">F24</f>
        <v>121.618919795236</v>
      </c>
      <c r="G61" s="20">
        <f t="shared" si="112"/>
        <v>0.80897774369873499</v>
      </c>
      <c r="H61" s="19">
        <f t="shared" si="3"/>
        <v>1</v>
      </c>
      <c r="I61" s="20">
        <f t="shared" ref="I61:J61" si="113">I24</f>
        <v>132.264721838843</v>
      </c>
      <c r="J61" s="20">
        <f t="shared" si="113"/>
        <v>0.69318587596602799</v>
      </c>
      <c r="K61" s="19">
        <f t="shared" si="4"/>
        <v>1.3183608454542151</v>
      </c>
      <c r="L61" s="20">
        <f t="shared" ref="L61:M61" si="114">L24</f>
        <v>136.941255869918</v>
      </c>
      <c r="M61" s="20">
        <f t="shared" si="114"/>
        <v>0.95426341302569295</v>
      </c>
      <c r="N61" s="19">
        <f t="shared" si="5"/>
        <v>1.1228419120207935</v>
      </c>
      <c r="O61" s="20">
        <f t="shared" ref="O61:P61" si="115">O24</f>
        <v>130.60712741771999</v>
      </c>
      <c r="P61" s="20">
        <f t="shared" si="115"/>
        <v>0.67623710785678304</v>
      </c>
    </row>
    <row r="62" spans="1:16" x14ac:dyDescent="0.2">
      <c r="A62" s="18">
        <v>812</v>
      </c>
      <c r="B62" s="19">
        <f t="shared" si="1"/>
        <v>1.2033284450208122</v>
      </c>
      <c r="C62" s="20">
        <f t="shared" ref="C62:D62" si="116">C25</f>
        <v>110.860347747802</v>
      </c>
      <c r="D62" s="20">
        <f t="shared" si="116"/>
        <v>1.94264939985954</v>
      </c>
      <c r="E62" s="19">
        <f t="shared" si="2"/>
        <v>1.0557271391583274</v>
      </c>
      <c r="F62" s="20">
        <f t="shared" ref="F62:G62" si="117">F25</f>
        <v>87.441142348662893</v>
      </c>
      <c r="G62" s="20">
        <f t="shared" si="117"/>
        <v>1.9372161433797701</v>
      </c>
      <c r="H62" s="19">
        <f t="shared" si="3"/>
        <v>1</v>
      </c>
      <c r="I62" s="20">
        <f t="shared" ref="I62:J62" si="118">I25</f>
        <v>88.1953243161432</v>
      </c>
      <c r="J62" s="20">
        <f t="shared" si="118"/>
        <v>1.8648036496369</v>
      </c>
      <c r="K62" s="19">
        <f t="shared" si="4"/>
        <v>1.0819478750382758</v>
      </c>
      <c r="L62" s="20">
        <f t="shared" ref="L62:M62" si="119">L25</f>
        <v>96.501238840501301</v>
      </c>
      <c r="M62" s="20">
        <f t="shared" si="119"/>
        <v>2.4333025059032298</v>
      </c>
      <c r="N62" s="19">
        <f t="shared" si="5"/>
        <v>1.0248414184939993</v>
      </c>
      <c r="O62" s="20">
        <f t="shared" ref="O62:P62" si="120">O25</f>
        <v>87.640974236445601</v>
      </c>
      <c r="P62" s="20">
        <f t="shared" si="120"/>
        <v>1.8760608055750601</v>
      </c>
    </row>
    <row r="63" spans="1:16" x14ac:dyDescent="0.2">
      <c r="A63">
        <v>816</v>
      </c>
      <c r="B63" s="3">
        <f t="shared" si="1"/>
        <v>2.5143956490210022</v>
      </c>
      <c r="C63" s="5">
        <f t="shared" ref="C63:D63" si="121">C26</f>
        <v>200</v>
      </c>
      <c r="D63" s="5">
        <f t="shared" si="121"/>
        <v>0.35093775959985302</v>
      </c>
      <c r="E63" s="3">
        <f t="shared" si="2"/>
        <v>2.6219472619541473</v>
      </c>
      <c r="F63" s="5">
        <f t="shared" ref="F63:G63" si="122">F26</f>
        <v>163.98991841072501</v>
      </c>
      <c r="G63" s="5">
        <f t="shared" si="122"/>
        <v>0.36798252511766899</v>
      </c>
      <c r="H63" s="3">
        <f t="shared" si="3"/>
        <v>3.6631597719346911</v>
      </c>
      <c r="I63" s="5">
        <f t="shared" ref="I63:J63" si="123">I26</f>
        <v>180.727221648843</v>
      </c>
      <c r="J63" s="5">
        <f t="shared" si="123"/>
        <v>0.57088228571691002</v>
      </c>
      <c r="K63" s="3">
        <f t="shared" si="4"/>
        <v>1.0390672553957467</v>
      </c>
      <c r="L63" s="5">
        <f t="shared" ref="L63:M63" si="124">L26</f>
        <v>165.943681818426</v>
      </c>
      <c r="M63" s="5">
        <f t="shared" si="124"/>
        <v>0.16650322832395101</v>
      </c>
      <c r="N63" s="3">
        <f t="shared" si="5"/>
        <v>1</v>
      </c>
      <c r="O63" s="5">
        <f t="shared" ref="O63:P63" si="125">O26</f>
        <v>171.72849125777</v>
      </c>
      <c r="P63" s="5">
        <f t="shared" si="125"/>
        <v>0.14176216755740301</v>
      </c>
    </row>
    <row r="64" spans="1:16" x14ac:dyDescent="0.2">
      <c r="A64">
        <v>822</v>
      </c>
      <c r="B64" s="3">
        <f t="shared" si="1"/>
        <v>1.354505993859856</v>
      </c>
      <c r="C64" s="5">
        <f t="shared" ref="C64:D64" si="126">C27</f>
        <v>145.935666561126</v>
      </c>
      <c r="D64" s="5">
        <f t="shared" si="126"/>
        <v>0.79546774429810296</v>
      </c>
      <c r="E64" s="3">
        <f t="shared" si="2"/>
        <v>1.4906596696914582</v>
      </c>
      <c r="F64" s="5">
        <f t="shared" ref="F64:G64" si="127">F27</f>
        <v>117.853039235164</v>
      </c>
      <c r="G64" s="5">
        <f t="shared" si="127"/>
        <v>0.73394217883056201</v>
      </c>
      <c r="H64" s="3">
        <f t="shared" si="3"/>
        <v>1</v>
      </c>
      <c r="I64" s="5">
        <f t="shared" ref="I64:J64" si="128">I27</f>
        <v>112.792232885486</v>
      </c>
      <c r="J64" s="5">
        <f t="shared" si="128"/>
        <v>0.51635834963580995</v>
      </c>
      <c r="K64" s="3">
        <f t="shared" si="4"/>
        <v>1.1570547315736295</v>
      </c>
      <c r="L64" s="5">
        <f t="shared" ref="L64:M64" si="129">L27</f>
        <v>107.28922266898</v>
      </c>
      <c r="M64" s="5">
        <f t="shared" si="129"/>
        <v>0.69457811906997302</v>
      </c>
      <c r="N64" s="3">
        <f t="shared" si="5"/>
        <v>1.0918171537352941</v>
      </c>
      <c r="O64" s="5">
        <f t="shared" ref="O64:P64" si="130">O27</f>
        <v>113.97112114901699</v>
      </c>
      <c r="P64" s="5">
        <f t="shared" si="130"/>
        <v>0.54922057999803298</v>
      </c>
    </row>
    <row r="65" spans="1:16" x14ac:dyDescent="0.2">
      <c r="A65">
        <v>827</v>
      </c>
      <c r="B65" s="3">
        <f t="shared" si="1"/>
        <v>1.0992554110175377</v>
      </c>
      <c r="C65" s="5">
        <f t="shared" ref="C65:D65" si="131">C28</f>
        <v>118.85894536972</v>
      </c>
      <c r="D65" s="5">
        <f t="shared" si="131"/>
        <v>1.1365040949654099</v>
      </c>
      <c r="E65" s="3">
        <f t="shared" si="2"/>
        <v>1.1475576434362267</v>
      </c>
      <c r="F65" s="5">
        <f t="shared" ref="F65:G65" si="132">F28</f>
        <v>103.70931982881601</v>
      </c>
      <c r="G65" s="5">
        <f t="shared" si="132"/>
        <v>1.34332111269333</v>
      </c>
      <c r="H65" s="3">
        <f t="shared" si="3"/>
        <v>1.0360948133641932</v>
      </c>
      <c r="I65" s="5">
        <f t="shared" ref="I65:J65" si="133">I28</f>
        <v>101.569487872034</v>
      </c>
      <c r="J65" s="5">
        <f t="shared" si="133"/>
        <v>1.1352500552553499</v>
      </c>
      <c r="K65" s="3">
        <f t="shared" si="4"/>
        <v>1.246602489015618</v>
      </c>
      <c r="L65" s="5">
        <f t="shared" ref="L65:M65" si="134">L28</f>
        <v>123.711226079874</v>
      </c>
      <c r="M65" s="5">
        <f t="shared" si="134"/>
        <v>1.40561651196765</v>
      </c>
      <c r="N65" s="3">
        <f t="shared" si="5"/>
        <v>1</v>
      </c>
      <c r="O65" s="5">
        <f t="shared" ref="O65:P65" si="135">O28</f>
        <v>102.341475093489</v>
      </c>
      <c r="P65" s="5">
        <f t="shared" si="135"/>
        <v>1.0792393862449201</v>
      </c>
    </row>
    <row r="66" spans="1:16" x14ac:dyDescent="0.2">
      <c r="A66">
        <v>838</v>
      </c>
      <c r="B66" s="3">
        <f t="shared" si="1"/>
        <v>1.3887283269067652</v>
      </c>
      <c r="C66" s="5">
        <f t="shared" ref="C66:D66" si="136">C29</f>
        <v>124.540698528289</v>
      </c>
      <c r="D66" s="5">
        <f t="shared" si="136"/>
        <v>0.98904935043803499</v>
      </c>
      <c r="E66" s="3">
        <f t="shared" si="2"/>
        <v>1.239487597531935</v>
      </c>
      <c r="F66" s="5">
        <f t="shared" ref="F66:G66" si="137">F29</f>
        <v>96.573023574976304</v>
      </c>
      <c r="G66" s="5">
        <f t="shared" si="137"/>
        <v>1.0686986186384599</v>
      </c>
      <c r="H66" s="3">
        <f t="shared" si="3"/>
        <v>1.0558545104177925</v>
      </c>
      <c r="I66" s="5">
        <f t="shared" ref="I66:J66" si="138">I29</f>
        <v>91.150268061694703</v>
      </c>
      <c r="J66" s="5">
        <f t="shared" si="138"/>
        <v>0.91980387636898797</v>
      </c>
      <c r="K66" s="3">
        <f t="shared" si="4"/>
        <v>1.2433852340188998</v>
      </c>
      <c r="L66" s="5">
        <f t="shared" ref="L66:M66" si="139">L29</f>
        <v>93.242975092976295</v>
      </c>
      <c r="M66" s="5">
        <f t="shared" si="139"/>
        <v>0.965468065056167</v>
      </c>
      <c r="N66" s="3">
        <f t="shared" si="5"/>
        <v>1</v>
      </c>
      <c r="O66" s="5">
        <f t="shared" ref="O66:P66" si="140">O29</f>
        <v>81.631891404160299</v>
      </c>
      <c r="P66" s="5">
        <f t="shared" si="140"/>
        <v>0.78437134423994703</v>
      </c>
    </row>
    <row r="67" spans="1:16" x14ac:dyDescent="0.2">
      <c r="A67">
        <v>876</v>
      </c>
      <c r="B67" s="3">
        <f t="shared" si="1"/>
        <v>3.3207823087732025</v>
      </c>
      <c r="C67" s="5">
        <f t="shared" ref="C67:D67" si="141">C30</f>
        <v>200</v>
      </c>
      <c r="D67" s="5">
        <f t="shared" si="141"/>
        <v>0.81890542905559005</v>
      </c>
      <c r="E67" s="3">
        <f t="shared" si="2"/>
        <v>1.5191494497587117</v>
      </c>
      <c r="F67" s="5">
        <f t="shared" ref="F67:G67" si="142">F30</f>
        <v>200</v>
      </c>
      <c r="G67" s="5">
        <f t="shared" si="142"/>
        <v>0.37462249153620603</v>
      </c>
      <c r="H67" s="3">
        <f t="shared" si="3"/>
        <v>1</v>
      </c>
      <c r="I67" s="5">
        <f t="shared" ref="I67:J67" si="143">I30</f>
        <v>200</v>
      </c>
      <c r="J67" s="5">
        <f t="shared" si="143"/>
        <v>0.24660015615692499</v>
      </c>
      <c r="K67" s="3">
        <f t="shared" si="4"/>
        <v>1.4137440887404025</v>
      </c>
      <c r="L67" s="5">
        <f t="shared" ref="L67:M67" si="144">L30</f>
        <v>200</v>
      </c>
      <c r="M67" s="5">
        <f t="shared" si="144"/>
        <v>0.348629513049315</v>
      </c>
      <c r="N67" s="3">
        <f t="shared" si="5"/>
        <v>1.2029393159045338</v>
      </c>
      <c r="O67" s="5">
        <f t="shared" ref="O67:P67" si="145">O30</f>
        <v>200</v>
      </c>
      <c r="P67" s="5">
        <f t="shared" si="145"/>
        <v>0.29664502314936297</v>
      </c>
    </row>
    <row r="68" spans="1:16" x14ac:dyDescent="0.2">
      <c r="A68">
        <v>877</v>
      </c>
      <c r="B68" s="3">
        <f t="shared" si="1"/>
        <v>1</v>
      </c>
      <c r="C68" s="5">
        <f t="shared" ref="C68:D68" si="146">C31</f>
        <v>186.17625236511199</v>
      </c>
      <c r="D68" s="5">
        <f t="shared" si="146"/>
        <v>0.66591897462013705</v>
      </c>
      <c r="E68" s="3">
        <f t="shared" si="2"/>
        <v>1.0268514607106214</v>
      </c>
      <c r="F68" s="5">
        <f t="shared" ref="F68:G68" si="147">F31</f>
        <v>166.113674015681</v>
      </c>
      <c r="G68" s="5">
        <f t="shared" si="147"/>
        <v>0.497582408090738</v>
      </c>
      <c r="H68" s="3">
        <f t="shared" si="3"/>
        <v>1.077028933819645</v>
      </c>
      <c r="I68" s="5">
        <f t="shared" ref="I68:J68" si="148">I31</f>
        <v>173.29530083723299</v>
      </c>
      <c r="J68" s="5">
        <f t="shared" si="148"/>
        <v>0.64410610733330997</v>
      </c>
      <c r="K68" s="3">
        <f t="shared" si="4"/>
        <v>1.016258823071122</v>
      </c>
      <c r="L68" s="5">
        <f t="shared" ref="L68:M68" si="149">L31</f>
        <v>171.490430062928</v>
      </c>
      <c r="M68" s="5">
        <f t="shared" si="149"/>
        <v>0.57216793491655604</v>
      </c>
      <c r="N68" s="3">
        <f t="shared" si="5"/>
        <v>1.0888620723408671</v>
      </c>
      <c r="O68" s="5">
        <f t="shared" ref="O68:P68" si="150">O31</f>
        <v>170.11936913812499</v>
      </c>
      <c r="P68" s="5">
        <f t="shared" si="150"/>
        <v>0.50145873132096297</v>
      </c>
    </row>
    <row r="69" spans="1:16" x14ac:dyDescent="0.2">
      <c r="A69">
        <v>888</v>
      </c>
      <c r="B69" s="3">
        <f t="shared" si="1"/>
        <v>1.0449404093767249</v>
      </c>
      <c r="C69" s="5">
        <f t="shared" ref="C69:D69" si="151">C32</f>
        <v>101.488137245178</v>
      </c>
      <c r="D69" s="5">
        <f t="shared" si="151"/>
        <v>0.53647708832579699</v>
      </c>
      <c r="E69" s="3">
        <f t="shared" si="2"/>
        <v>1.032665308698268</v>
      </c>
      <c r="F69" s="5">
        <f t="shared" ref="F69:G69" si="152">F32</f>
        <v>96.403316844402696</v>
      </c>
      <c r="G69" s="5">
        <f t="shared" si="152"/>
        <v>0.54947203951392798</v>
      </c>
      <c r="H69" s="3">
        <f t="shared" si="3"/>
        <v>1.048938536665277</v>
      </c>
      <c r="I69" s="5">
        <f t="shared" ref="I69:J69" si="153">I32</f>
        <v>95.060966389990696</v>
      </c>
      <c r="J69" s="5">
        <f t="shared" si="153"/>
        <v>0.53463612299633401</v>
      </c>
      <c r="K69" s="3">
        <f t="shared" si="4"/>
        <v>1.045133551247525</v>
      </c>
      <c r="L69" s="5">
        <f t="shared" ref="L69:M69" si="154">L32</f>
        <v>91.046120320747306</v>
      </c>
      <c r="M69" s="5">
        <f t="shared" si="154"/>
        <v>0.56905930114041703</v>
      </c>
      <c r="N69" s="3">
        <f t="shared" si="5"/>
        <v>1</v>
      </c>
      <c r="O69" s="5">
        <f t="shared" ref="O69:P69" si="155">O32</f>
        <v>100.775737542588</v>
      </c>
      <c r="P69" s="5">
        <f t="shared" si="155"/>
        <v>0.45232751026711998</v>
      </c>
    </row>
    <row r="70" spans="1:16" x14ac:dyDescent="0.2">
      <c r="A70">
        <v>890</v>
      </c>
      <c r="B70" s="3">
        <f t="shared" si="1"/>
        <v>1.4228392340044018</v>
      </c>
      <c r="C70" s="5">
        <f t="shared" ref="C70:D70" si="156">C33</f>
        <v>71.701157093048096</v>
      </c>
      <c r="D70" s="5">
        <f t="shared" si="156"/>
        <v>0.71719634913918895</v>
      </c>
      <c r="E70" s="3">
        <f t="shared" si="2"/>
        <v>1.032439172802619</v>
      </c>
      <c r="F70" s="5">
        <f t="shared" ref="F70:G70" si="157">F33</f>
        <v>62.753118508957797</v>
      </c>
      <c r="G70" s="5">
        <f t="shared" si="157"/>
        <v>0.48869321768125001</v>
      </c>
      <c r="H70" s="3">
        <f t="shared" si="3"/>
        <v>1</v>
      </c>
      <c r="I70" s="5">
        <f t="shared" ref="I70:J70" si="158">I33</f>
        <v>57.8519166729997</v>
      </c>
      <c r="J70" s="5">
        <f t="shared" si="158"/>
        <v>0.53482785356058005</v>
      </c>
      <c r="K70" s="3">
        <f t="shared" si="4"/>
        <v>1.2544516594845017</v>
      </c>
      <c r="L70" s="5">
        <f t="shared" ref="L70:M70" si="159">L33</f>
        <v>71.284946980195002</v>
      </c>
      <c r="M70" s="5">
        <f t="shared" si="159"/>
        <v>0.61060893102269198</v>
      </c>
      <c r="N70" s="3">
        <f t="shared" si="5"/>
        <v>1.1450889086864944</v>
      </c>
      <c r="O70" s="5">
        <f t="shared" ref="O70:P70" si="160">O33</f>
        <v>57.313678589265898</v>
      </c>
      <c r="P70" s="5">
        <f t="shared" si="160"/>
        <v>0.52965949155732495</v>
      </c>
    </row>
    <row r="71" spans="1:16" ht="51" x14ac:dyDescent="0.2">
      <c r="A71" s="2" t="s">
        <v>81</v>
      </c>
      <c r="B71" s="3">
        <f>AVERAGE(B39:B70)</f>
        <v>1.6641419498112748</v>
      </c>
      <c r="C71" s="3">
        <f t="shared" ref="C71:P71" si="161">AVERAGE(C39:C70)</f>
        <v>137.58186511695345</v>
      </c>
      <c r="D71" s="3">
        <f t="shared" si="161"/>
        <v>0.9134207442923904</v>
      </c>
      <c r="E71" s="3">
        <f t="shared" si="161"/>
        <v>1.1612700429044329</v>
      </c>
      <c r="F71" s="3">
        <f t="shared" si="161"/>
        <v>122.5762731622614</v>
      </c>
      <c r="G71" s="3">
        <f t="shared" si="161"/>
        <v>0.73957392432502678</v>
      </c>
      <c r="H71" s="3">
        <f t="shared" si="161"/>
        <v>1.2478301698422698</v>
      </c>
      <c r="I71" s="3">
        <f t="shared" si="161"/>
        <v>124.12918532868292</v>
      </c>
      <c r="J71" s="3">
        <f t="shared" si="161"/>
        <v>0.74250122151795517</v>
      </c>
      <c r="K71" s="3">
        <f t="shared" si="161"/>
        <v>1.2060756736491531</v>
      </c>
      <c r="L71" s="3">
        <f t="shared" si="161"/>
        <v>126.65452821670503</v>
      </c>
      <c r="M71" s="3">
        <f t="shared" si="161"/>
        <v>0.83580848744339586</v>
      </c>
      <c r="N71" s="3">
        <f t="shared" si="161"/>
        <v>1.1039481791896757</v>
      </c>
      <c r="O71" s="3">
        <f t="shared" si="161"/>
        <v>125.1083550096586</v>
      </c>
      <c r="P71" s="3">
        <f t="shared" si="161"/>
        <v>0.68925044733746832</v>
      </c>
    </row>
  </sheetData>
  <pageMargins left="0.75" right="0.75" top="1" bottom="1" header="0.5" footer="0.5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64F11-DF7F-E649-BBF2-C788DF54FC98}">
  <dimension ref="A1:R72"/>
  <sheetViews>
    <sheetView topLeftCell="A3" workbookViewId="0">
      <selection activeCell="S34" sqref="S34"/>
    </sheetView>
  </sheetViews>
  <sheetFormatPr baseColWidth="10" defaultRowHeight="16" x14ac:dyDescent="0.2"/>
  <cols>
    <col min="1" max="1" width="14.5" customWidth="1"/>
    <col min="2" max="2" width="12.1640625" style="3" bestFit="1" customWidth="1"/>
    <col min="3" max="4" width="12.1640625" bestFit="1" customWidth="1"/>
    <col min="5" max="5" width="12.1640625" style="3" bestFit="1" customWidth="1"/>
    <col min="6" max="7" width="12.1640625" bestFit="1" customWidth="1"/>
    <col min="8" max="8" width="12.1640625" style="3" bestFit="1" customWidth="1"/>
    <col min="9" max="10" width="12.1640625" bestFit="1" customWidth="1"/>
    <col min="11" max="11" width="12.1640625" style="3" bestFit="1" customWidth="1"/>
    <col min="12" max="13" width="12.1640625" bestFit="1" customWidth="1"/>
    <col min="14" max="14" width="12.1640625" style="3" bestFit="1" customWidth="1"/>
    <col min="15" max="16" width="12.1640625" bestFit="1" customWidth="1"/>
    <col min="18" max="18" width="29.1640625" customWidth="1"/>
  </cols>
  <sheetData>
    <row r="1" spans="1:18" s="1" customFormat="1" ht="34" x14ac:dyDescent="0.2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R1" s="1" t="s">
        <v>137</v>
      </c>
    </row>
    <row r="2" spans="1:18" x14ac:dyDescent="0.2">
      <c r="A2">
        <v>47</v>
      </c>
      <c r="B2" s="3">
        <v>8596.0153559658102</v>
      </c>
      <c r="C2">
        <v>130.115413665771</v>
      </c>
      <c r="D2">
        <v>0.72766589935653103</v>
      </c>
      <c r="E2" s="3">
        <v>6393.2710294306698</v>
      </c>
      <c r="F2">
        <v>124.46870657701101</v>
      </c>
      <c r="G2">
        <v>0.59550928053681895</v>
      </c>
      <c r="H2" s="3">
        <v>6275.8313759293997</v>
      </c>
      <c r="I2">
        <v>133.09951607286499</v>
      </c>
      <c r="J2">
        <v>0.63025076166490401</v>
      </c>
      <c r="K2" s="3">
        <v>7079.2295546783798</v>
      </c>
      <c r="L2">
        <v>130.35267333840699</v>
      </c>
      <c r="M2">
        <v>0.73612700387724395</v>
      </c>
      <c r="N2" s="3">
        <v>6337.9077468444502</v>
      </c>
      <c r="O2">
        <v>128.27809128480899</v>
      </c>
      <c r="P2">
        <v>0.59473960265235504</v>
      </c>
      <c r="R2" s="4" t="s">
        <v>17</v>
      </c>
    </row>
    <row r="3" spans="1:18" x14ac:dyDescent="0.2">
      <c r="A3">
        <v>65</v>
      </c>
      <c r="B3" s="3">
        <v>1983.1228529770899</v>
      </c>
      <c r="C3">
        <v>189.438068866729</v>
      </c>
      <c r="D3">
        <v>1.36627158461965</v>
      </c>
      <c r="E3" s="3">
        <v>1327.08243076128</v>
      </c>
      <c r="F3">
        <v>179.19803551747</v>
      </c>
      <c r="G3">
        <v>0.99346582017927998</v>
      </c>
      <c r="H3" s="3">
        <v>1237.0332226503599</v>
      </c>
      <c r="I3">
        <v>170.688963879336</v>
      </c>
      <c r="J3">
        <v>0.92270052487774201</v>
      </c>
      <c r="K3" s="3">
        <v>1288.90536492352</v>
      </c>
      <c r="L3">
        <v>174.96838247696999</v>
      </c>
      <c r="M3">
        <v>1.11115957395275</v>
      </c>
      <c r="N3" s="3">
        <v>1276.5457839978201</v>
      </c>
      <c r="O3">
        <v>180.806041790465</v>
      </c>
      <c r="P3">
        <v>0.82117461602130704</v>
      </c>
      <c r="R3" s="4" t="s">
        <v>18</v>
      </c>
    </row>
    <row r="4" spans="1:18" x14ac:dyDescent="0.2">
      <c r="A4">
        <v>98</v>
      </c>
      <c r="B4" s="3">
        <v>3251.8548553095002</v>
      </c>
      <c r="C4">
        <v>194.514667987823</v>
      </c>
      <c r="D4">
        <v>0.86245052241768205</v>
      </c>
      <c r="E4" s="3">
        <v>1021.71897907121</v>
      </c>
      <c r="F4">
        <v>198.655282308875</v>
      </c>
      <c r="G4">
        <v>0.34840919764515299</v>
      </c>
      <c r="H4" s="3">
        <v>2127.6166374069699</v>
      </c>
      <c r="I4">
        <v>194.261904109027</v>
      </c>
      <c r="J4">
        <v>0.85147562504311103</v>
      </c>
      <c r="K4" s="3">
        <v>3762.5469189068099</v>
      </c>
      <c r="L4">
        <v>195.92005612829399</v>
      </c>
      <c r="M4">
        <v>1.4747012709323899</v>
      </c>
      <c r="N4" s="3">
        <v>1812.00613801295</v>
      </c>
      <c r="O4">
        <v>193.780743391698</v>
      </c>
      <c r="P4">
        <v>0.66718844527100496</v>
      </c>
      <c r="R4" s="4" t="s">
        <v>19</v>
      </c>
    </row>
    <row r="5" spans="1:18" x14ac:dyDescent="0.2">
      <c r="A5">
        <v>114</v>
      </c>
      <c r="B5" s="3">
        <v>53600.924171137201</v>
      </c>
      <c r="C5">
        <v>66.651529073715196</v>
      </c>
      <c r="D5">
        <v>0.78795331646876898</v>
      </c>
      <c r="E5" s="3">
        <v>51838.676431848799</v>
      </c>
      <c r="F5">
        <v>52.295170773032503</v>
      </c>
      <c r="G5">
        <v>0.6589834757659</v>
      </c>
      <c r="H5" s="3">
        <v>43125.199916188598</v>
      </c>
      <c r="I5">
        <v>45.775629863823902</v>
      </c>
      <c r="J5">
        <v>0.58366557823145504</v>
      </c>
      <c r="K5" s="3">
        <v>40744.629600346001</v>
      </c>
      <c r="L5">
        <v>48.395242166673199</v>
      </c>
      <c r="M5">
        <v>0.58470913901064703</v>
      </c>
      <c r="N5" s="3">
        <v>41452.148754373797</v>
      </c>
      <c r="O5">
        <v>44.451944842090498</v>
      </c>
      <c r="P5">
        <v>0.53419209938944401</v>
      </c>
      <c r="R5" s="4" t="s">
        <v>23</v>
      </c>
    </row>
    <row r="6" spans="1:18" x14ac:dyDescent="0.2">
      <c r="A6">
        <v>123</v>
      </c>
      <c r="B6" s="3">
        <v>10904.873405959301</v>
      </c>
      <c r="C6">
        <v>124.973177909851</v>
      </c>
      <c r="D6">
        <v>1.00018074433661</v>
      </c>
      <c r="E6" s="3">
        <v>10174.113327250299</v>
      </c>
      <c r="F6">
        <v>121.95017267975</v>
      </c>
      <c r="G6">
        <v>0.99921980378140496</v>
      </c>
      <c r="H6" s="3">
        <v>10311.873325545101</v>
      </c>
      <c r="I6">
        <v>118.576324552342</v>
      </c>
      <c r="J6">
        <v>0.99125014878919204</v>
      </c>
      <c r="K6" s="3">
        <v>10763.8915157264</v>
      </c>
      <c r="L6">
        <v>122.414678559048</v>
      </c>
      <c r="M6">
        <v>0.95636913710293803</v>
      </c>
      <c r="N6" s="3">
        <v>11189.524743857701</v>
      </c>
      <c r="O6">
        <v>129.58774140499801</v>
      </c>
      <c r="P6">
        <v>0.96336275807284999</v>
      </c>
      <c r="R6" s="4" t="s">
        <v>24</v>
      </c>
    </row>
    <row r="7" spans="1:18" x14ac:dyDescent="0.2">
      <c r="A7">
        <v>168</v>
      </c>
      <c r="B7" s="3">
        <v>2803.47106280767</v>
      </c>
      <c r="C7">
        <v>138.045465946197</v>
      </c>
      <c r="D7">
        <v>1.1051747396921501</v>
      </c>
      <c r="E7" s="3">
        <v>3168.5763653876202</v>
      </c>
      <c r="F7">
        <v>139.36390958595899</v>
      </c>
      <c r="G7">
        <v>1.3221926509023001</v>
      </c>
      <c r="H7" s="3">
        <v>2645.0023108824098</v>
      </c>
      <c r="I7">
        <v>127.964716592823</v>
      </c>
      <c r="J7">
        <v>0.99294144370821802</v>
      </c>
      <c r="K7" s="3">
        <v>2833.41906872257</v>
      </c>
      <c r="L7">
        <v>153.665139916703</v>
      </c>
      <c r="M7">
        <v>1.3298729978008501</v>
      </c>
      <c r="N7" s="3">
        <v>2808.2509133223798</v>
      </c>
      <c r="O7">
        <v>132.774359166545</v>
      </c>
      <c r="P7">
        <v>0.97896927384805099</v>
      </c>
      <c r="R7" s="4" t="s">
        <v>25</v>
      </c>
    </row>
    <row r="8" spans="1:18" x14ac:dyDescent="0.2">
      <c r="A8">
        <v>172</v>
      </c>
      <c r="B8" s="3">
        <v>10743.6835396431</v>
      </c>
      <c r="C8">
        <v>122.664177417755</v>
      </c>
      <c r="D8">
        <v>0.72695248655853195</v>
      </c>
      <c r="E8" s="3">
        <v>9266.6779423716398</v>
      </c>
      <c r="F8">
        <v>122.744314063288</v>
      </c>
      <c r="G8">
        <v>0.78170999555890597</v>
      </c>
      <c r="H8" s="3">
        <v>9600.57180288973</v>
      </c>
      <c r="I8">
        <v>123.570470026601</v>
      </c>
      <c r="J8">
        <v>0.81525551417983499</v>
      </c>
      <c r="K8" s="3">
        <v>11122.241250311899</v>
      </c>
      <c r="L8">
        <v>136.10116558410601</v>
      </c>
      <c r="M8">
        <v>1.14552319486529</v>
      </c>
      <c r="N8" s="3">
        <v>9491.7838944981104</v>
      </c>
      <c r="O8">
        <v>112.339694666629</v>
      </c>
      <c r="P8">
        <v>0.57392657186613805</v>
      </c>
      <c r="R8" s="16"/>
    </row>
    <row r="9" spans="1:18" x14ac:dyDescent="0.2">
      <c r="A9">
        <v>185</v>
      </c>
      <c r="B9" s="3">
        <v>31701.7188177549</v>
      </c>
      <c r="C9">
        <v>107.691121101379</v>
      </c>
      <c r="D9">
        <v>0.89809370602088201</v>
      </c>
      <c r="E9" s="3">
        <v>30448.066101414901</v>
      </c>
      <c r="F9">
        <v>97.700367494684201</v>
      </c>
      <c r="G9">
        <v>0.85835183006424198</v>
      </c>
      <c r="H9" s="3">
        <v>30909.142918186601</v>
      </c>
      <c r="I9">
        <v>98.923784025931099</v>
      </c>
      <c r="J9">
        <v>0.88237209935265903</v>
      </c>
      <c r="K9" s="3">
        <v>31704.655976967399</v>
      </c>
      <c r="L9">
        <v>107.732038446202</v>
      </c>
      <c r="M9">
        <v>0.87757273638247602</v>
      </c>
      <c r="N9" s="3">
        <v>31084.629961082901</v>
      </c>
      <c r="O9">
        <v>100.35042650851599</v>
      </c>
      <c r="P9">
        <v>0.877081066545082</v>
      </c>
      <c r="R9" s="4" t="s">
        <v>33</v>
      </c>
    </row>
    <row r="10" spans="1:18" x14ac:dyDescent="0.2">
      <c r="A10">
        <v>195</v>
      </c>
      <c r="B10" s="3">
        <v>79064.070828664</v>
      </c>
      <c r="C10">
        <v>121.386015415191</v>
      </c>
      <c r="D10">
        <v>0.77596498252594803</v>
      </c>
      <c r="E10" s="3">
        <v>53455.934241183102</v>
      </c>
      <c r="F10">
        <v>90.783409211563495</v>
      </c>
      <c r="G10">
        <v>0.52772235836524095</v>
      </c>
      <c r="H10" s="3">
        <v>52089.547897975201</v>
      </c>
      <c r="I10">
        <v>94.182894900685795</v>
      </c>
      <c r="J10">
        <v>0.53550677724887197</v>
      </c>
      <c r="K10" s="3">
        <v>54376.1951114931</v>
      </c>
      <c r="L10">
        <v>97.199117481695694</v>
      </c>
      <c r="M10">
        <v>0.58370219004276003</v>
      </c>
      <c r="N10" s="3">
        <v>52652.081678753697</v>
      </c>
      <c r="O10">
        <v>82.009653040326697</v>
      </c>
      <c r="P10">
        <v>0.45588178821049602</v>
      </c>
      <c r="R10" s="4" t="s">
        <v>34</v>
      </c>
    </row>
    <row r="11" spans="1:18" x14ac:dyDescent="0.2">
      <c r="A11">
        <v>197</v>
      </c>
      <c r="B11" s="3">
        <v>13489.686134228599</v>
      </c>
      <c r="C11">
        <v>152.57120132446201</v>
      </c>
      <c r="D11">
        <v>0.84962433737336795</v>
      </c>
      <c r="E11" s="3">
        <v>12811.7953336884</v>
      </c>
      <c r="F11">
        <v>139.818165296465</v>
      </c>
      <c r="G11">
        <v>0.83446832872863996</v>
      </c>
      <c r="H11" s="3">
        <v>11180.776676343099</v>
      </c>
      <c r="I11">
        <v>136.353942499</v>
      </c>
      <c r="J11">
        <v>0.76172098907588404</v>
      </c>
      <c r="K11" s="3">
        <v>11644.4534762969</v>
      </c>
      <c r="L11">
        <v>144.066490913422</v>
      </c>
      <c r="M11">
        <v>0.72105700581758303</v>
      </c>
      <c r="N11" s="3">
        <v>13667.367065664101</v>
      </c>
      <c r="O11">
        <v>147.10457249817199</v>
      </c>
      <c r="P11">
        <v>0.66511829664916799</v>
      </c>
      <c r="R11" s="4" t="s">
        <v>36</v>
      </c>
    </row>
    <row r="12" spans="1:18" x14ac:dyDescent="0.2">
      <c r="A12">
        <v>237</v>
      </c>
      <c r="B12" s="3">
        <v>34265.312139246496</v>
      </c>
      <c r="C12">
        <v>141.20523929595899</v>
      </c>
      <c r="D12">
        <v>0.93335271116174201</v>
      </c>
      <c r="E12" s="3">
        <v>23288.611136801301</v>
      </c>
      <c r="F12">
        <v>125.235767098729</v>
      </c>
      <c r="G12">
        <v>0.54339941350544196</v>
      </c>
      <c r="H12" s="3">
        <v>20483.560192743302</v>
      </c>
      <c r="I12">
        <v>121.084652040596</v>
      </c>
      <c r="J12">
        <v>0.64329731799169998</v>
      </c>
      <c r="K12" s="3">
        <v>24170.200330825701</v>
      </c>
      <c r="L12">
        <v>121.453213714401</v>
      </c>
      <c r="M12">
        <v>0.63983728996862499</v>
      </c>
      <c r="N12" s="3">
        <v>22041.935258487702</v>
      </c>
      <c r="O12">
        <v>98.044194587162806</v>
      </c>
      <c r="P12">
        <v>0.41401479311789402</v>
      </c>
      <c r="R12" s="4" t="s">
        <v>38</v>
      </c>
    </row>
    <row r="13" spans="1:18" x14ac:dyDescent="0.2">
      <c r="A13">
        <v>272</v>
      </c>
      <c r="B13" s="3">
        <v>2180.4076453727598</v>
      </c>
      <c r="C13">
        <v>154.41483259200999</v>
      </c>
      <c r="D13">
        <v>1.1111881493967</v>
      </c>
      <c r="E13" s="3">
        <v>1535.5831462210599</v>
      </c>
      <c r="F13">
        <v>145.14119736861201</v>
      </c>
      <c r="G13">
        <v>0.84864270259796903</v>
      </c>
      <c r="H13" s="3">
        <v>1777.6395706052101</v>
      </c>
      <c r="I13">
        <v>157.490594208913</v>
      </c>
      <c r="J13">
        <v>0.95066487649961295</v>
      </c>
      <c r="K13" s="3">
        <v>1597.9085300571201</v>
      </c>
      <c r="L13">
        <v>149.510883940083</v>
      </c>
      <c r="M13">
        <v>0.93730613412822095</v>
      </c>
      <c r="N13" s="3">
        <v>1625.36431669729</v>
      </c>
      <c r="O13">
        <v>144.78376529002799</v>
      </c>
      <c r="P13">
        <v>0.95326185072155201</v>
      </c>
      <c r="R13" s="4" t="s">
        <v>40</v>
      </c>
    </row>
    <row r="14" spans="1:18" x14ac:dyDescent="0.2">
      <c r="A14">
        <v>279</v>
      </c>
      <c r="B14" s="3">
        <v>62833.413785978497</v>
      </c>
      <c r="C14">
        <v>137.740159034729</v>
      </c>
      <c r="D14">
        <v>0.976599334672278</v>
      </c>
      <c r="E14" s="3">
        <v>34499.568050340204</v>
      </c>
      <c r="F14">
        <v>91.364041413681093</v>
      </c>
      <c r="G14">
        <v>0.57707656543660402</v>
      </c>
      <c r="H14" s="3">
        <v>34811.042885101597</v>
      </c>
      <c r="I14">
        <v>88.960785392620096</v>
      </c>
      <c r="J14">
        <v>0.52682450243328804</v>
      </c>
      <c r="K14" s="3">
        <v>39140.001828471402</v>
      </c>
      <c r="L14">
        <v>108.600064499857</v>
      </c>
      <c r="M14">
        <v>0.709612159908381</v>
      </c>
      <c r="N14" s="3">
        <v>47449.876247038897</v>
      </c>
      <c r="O14">
        <v>109.564477502646</v>
      </c>
      <c r="P14">
        <v>0.60769763966281698</v>
      </c>
      <c r="R14" s="4" t="s">
        <v>20</v>
      </c>
    </row>
    <row r="15" spans="1:18" x14ac:dyDescent="0.2">
      <c r="A15">
        <v>709</v>
      </c>
      <c r="B15" s="3">
        <v>2043.10517350429</v>
      </c>
      <c r="C15">
        <v>157.37278461456299</v>
      </c>
      <c r="D15">
        <v>4.3376229150973999E-2</v>
      </c>
      <c r="E15" s="3">
        <v>857.36758722324896</v>
      </c>
      <c r="F15">
        <v>183.67090019803399</v>
      </c>
      <c r="G15">
        <v>1.2730766131148199E-2</v>
      </c>
      <c r="H15" s="3">
        <v>1916.9334403416301</v>
      </c>
      <c r="I15">
        <v>174.38783843747601</v>
      </c>
      <c r="J15">
        <v>4.18807501293635E-2</v>
      </c>
      <c r="K15" s="3">
        <v>760.05468264699005</v>
      </c>
      <c r="L15">
        <v>127.525802636525</v>
      </c>
      <c r="M15">
        <v>1.14674581360687E-2</v>
      </c>
      <c r="N15" s="3">
        <v>823.34827093931005</v>
      </c>
      <c r="O15">
        <v>159.395951303408</v>
      </c>
      <c r="P15">
        <v>1.2910365457316201E-2</v>
      </c>
      <c r="R15" s="4" t="s">
        <v>21</v>
      </c>
    </row>
    <row r="16" spans="1:18" x14ac:dyDescent="0.2">
      <c r="A16">
        <v>712</v>
      </c>
      <c r="B16" s="3">
        <v>2348.1576820988798</v>
      </c>
      <c r="C16">
        <v>127.954041957855</v>
      </c>
      <c r="D16">
        <v>0.52639051760636701</v>
      </c>
      <c r="E16" s="3">
        <v>2688.0459949615401</v>
      </c>
      <c r="F16">
        <v>129.52510133865599</v>
      </c>
      <c r="G16">
        <v>0.66111218449446796</v>
      </c>
      <c r="H16" s="3">
        <v>2411.69699886323</v>
      </c>
      <c r="I16">
        <v>129.985446362701</v>
      </c>
      <c r="J16">
        <v>0.58552473138415795</v>
      </c>
      <c r="K16" s="3">
        <v>3521.3574626281502</v>
      </c>
      <c r="L16">
        <v>137.51557128761499</v>
      </c>
      <c r="M16">
        <v>1.0684839773960699</v>
      </c>
      <c r="N16" s="3">
        <v>2985.8443857432599</v>
      </c>
      <c r="O16">
        <v>159.67252349458599</v>
      </c>
      <c r="P16">
        <v>0.57284308428391695</v>
      </c>
      <c r="R16" s="4" t="s">
        <v>22</v>
      </c>
    </row>
    <row r="17" spans="1:18" x14ac:dyDescent="0.2">
      <c r="A17">
        <v>714</v>
      </c>
      <c r="B17" s="3">
        <v>2464.8378242797198</v>
      </c>
      <c r="C17">
        <v>173.96701574325499</v>
      </c>
      <c r="D17">
        <v>0.95639271171903195</v>
      </c>
      <c r="E17" s="3">
        <v>518.87545650241896</v>
      </c>
      <c r="F17">
        <v>115.85790890621099</v>
      </c>
      <c r="G17">
        <v>0.27313364596908402</v>
      </c>
      <c r="H17" s="3">
        <v>844.35138718624296</v>
      </c>
      <c r="I17">
        <v>144.49649734695001</v>
      </c>
      <c r="J17">
        <v>0.48029473480947998</v>
      </c>
      <c r="K17" s="3">
        <v>538.45036310189801</v>
      </c>
      <c r="L17">
        <v>156.98698024444701</v>
      </c>
      <c r="M17">
        <v>0.23188524565431101</v>
      </c>
      <c r="N17" s="3">
        <v>608.13991519177296</v>
      </c>
      <c r="O17">
        <v>170.31756034727101</v>
      </c>
      <c r="P17">
        <v>0.30036178154784698</v>
      </c>
      <c r="R17" s="4" t="s">
        <v>26</v>
      </c>
    </row>
    <row r="18" spans="1:18" x14ac:dyDescent="0.2">
      <c r="A18">
        <v>722</v>
      </c>
      <c r="B18" s="3">
        <v>285373.96904412901</v>
      </c>
      <c r="C18">
        <v>132.22872018813999</v>
      </c>
      <c r="D18">
        <v>0.99618992095557701</v>
      </c>
      <c r="E18" s="3">
        <v>216823.902362956</v>
      </c>
      <c r="F18">
        <v>119.58094322038301</v>
      </c>
      <c r="G18">
        <v>0.83321798769566302</v>
      </c>
      <c r="H18" s="3">
        <v>180021.44306578199</v>
      </c>
      <c r="I18">
        <v>103.45067727983501</v>
      </c>
      <c r="J18">
        <v>0.64223870494483803</v>
      </c>
      <c r="K18" s="3">
        <v>203911.227740542</v>
      </c>
      <c r="L18">
        <v>120.276721845857</v>
      </c>
      <c r="M18">
        <v>0.785709638010746</v>
      </c>
      <c r="N18" s="3">
        <v>207504.91749480201</v>
      </c>
      <c r="O18">
        <v>120.054979372242</v>
      </c>
      <c r="P18">
        <v>0.81245491506434497</v>
      </c>
      <c r="R18" s="4" t="s">
        <v>27</v>
      </c>
    </row>
    <row r="19" spans="1:18" x14ac:dyDescent="0.2">
      <c r="A19">
        <v>724</v>
      </c>
      <c r="B19" s="3">
        <v>7072.2123836887104</v>
      </c>
      <c r="C19">
        <v>89.393514394760103</v>
      </c>
      <c r="D19">
        <v>1.0964845890342001</v>
      </c>
      <c r="E19" s="3">
        <v>4993.8136231646404</v>
      </c>
      <c r="F19">
        <v>62.0953075805023</v>
      </c>
      <c r="G19">
        <v>0.76970395255276502</v>
      </c>
      <c r="H19" s="3">
        <v>4546.3572122236401</v>
      </c>
      <c r="I19">
        <v>58.599766851900199</v>
      </c>
      <c r="J19">
        <v>0.69397076772195199</v>
      </c>
      <c r="K19" s="3">
        <v>4653.2023996420403</v>
      </c>
      <c r="L19">
        <v>61.089629719220099</v>
      </c>
      <c r="M19">
        <v>0.75159907298050399</v>
      </c>
      <c r="N19" s="3">
        <v>5228.5078178057402</v>
      </c>
      <c r="O19">
        <v>63.406646780250398</v>
      </c>
      <c r="P19">
        <v>0.71123271248638398</v>
      </c>
      <c r="R19" s="4" t="s">
        <v>28</v>
      </c>
    </row>
    <row r="20" spans="1:18" x14ac:dyDescent="0.2">
      <c r="A20">
        <v>749</v>
      </c>
      <c r="B20" s="3">
        <v>71143.405822324799</v>
      </c>
      <c r="C20">
        <v>137.03283071517899</v>
      </c>
      <c r="D20">
        <v>2.5222936616131602</v>
      </c>
      <c r="E20" s="3">
        <v>19024.317029594898</v>
      </c>
      <c r="F20">
        <v>104.79200705662301</v>
      </c>
      <c r="G20">
        <v>0.67526558216079302</v>
      </c>
      <c r="H20" s="3">
        <v>21881.106869388201</v>
      </c>
      <c r="I20">
        <v>124.446850998347</v>
      </c>
      <c r="J20">
        <v>0.86892432218412896</v>
      </c>
      <c r="K20" s="3">
        <v>19910.105756584799</v>
      </c>
      <c r="L20">
        <v>119.387313930191</v>
      </c>
      <c r="M20">
        <v>0.857189057115058</v>
      </c>
      <c r="N20" s="3">
        <v>38673.923906173302</v>
      </c>
      <c r="O20">
        <v>125.52956680238999</v>
      </c>
      <c r="P20">
        <v>1.4334004477284199</v>
      </c>
      <c r="R20" s="4" t="s">
        <v>29</v>
      </c>
    </row>
    <row r="21" spans="1:18" x14ac:dyDescent="0.2">
      <c r="A21">
        <v>777</v>
      </c>
      <c r="B21" s="3">
        <v>3990.2847016221699</v>
      </c>
      <c r="C21">
        <v>161.98723316192601</v>
      </c>
      <c r="D21">
        <v>1.0953069692441499</v>
      </c>
      <c r="E21" s="3">
        <v>2559.7417961342899</v>
      </c>
      <c r="F21">
        <v>148.45549180987899</v>
      </c>
      <c r="G21">
        <v>0.83128728193778301</v>
      </c>
      <c r="H21" s="3">
        <v>2866.1972203936498</v>
      </c>
      <c r="I21">
        <v>156.773910613233</v>
      </c>
      <c r="J21">
        <v>1.0303664226884901</v>
      </c>
      <c r="K21" s="3">
        <v>2522.03121808173</v>
      </c>
      <c r="L21">
        <v>150.66515016383801</v>
      </c>
      <c r="M21">
        <v>0.74959376578110704</v>
      </c>
      <c r="N21" s="3">
        <v>2612.7426877312</v>
      </c>
      <c r="O21">
        <v>146.775541370067</v>
      </c>
      <c r="P21">
        <v>0.51164758063762905</v>
      </c>
      <c r="R21" s="4" t="s">
        <v>30</v>
      </c>
    </row>
    <row r="22" spans="1:18" x14ac:dyDescent="0.2">
      <c r="A22">
        <v>782</v>
      </c>
      <c r="B22" s="3">
        <v>21173.545758799999</v>
      </c>
      <c r="C22">
        <v>131.22506141662501</v>
      </c>
      <c r="D22">
        <v>0.84762082611776002</v>
      </c>
      <c r="E22" s="3">
        <v>19479.031510419802</v>
      </c>
      <c r="F22">
        <v>117.390931991899</v>
      </c>
      <c r="G22">
        <v>0.705667132586836</v>
      </c>
      <c r="H22" s="3">
        <v>20591.5056686225</v>
      </c>
      <c r="I22">
        <v>116.639015045747</v>
      </c>
      <c r="J22">
        <v>0.73536861309220203</v>
      </c>
      <c r="K22" s="3">
        <v>18888.850890858499</v>
      </c>
      <c r="L22">
        <v>120.346131483514</v>
      </c>
      <c r="M22">
        <v>0.74215132335874201</v>
      </c>
      <c r="N22" s="3">
        <v>19741.122690541299</v>
      </c>
      <c r="O22">
        <v>130.56537117627701</v>
      </c>
      <c r="P22">
        <v>0.76523771097941995</v>
      </c>
      <c r="R22" s="4" t="s">
        <v>31</v>
      </c>
    </row>
    <row r="23" spans="1:18" x14ac:dyDescent="0.2">
      <c r="A23">
        <v>792</v>
      </c>
      <c r="B23" s="3">
        <v>19200.473327498901</v>
      </c>
      <c r="C23">
        <v>99.036175012588501</v>
      </c>
      <c r="D23">
        <v>0.91996829186387896</v>
      </c>
      <c r="E23" s="3">
        <v>17062.984812482999</v>
      </c>
      <c r="F23">
        <v>95.898137138436098</v>
      </c>
      <c r="G23">
        <v>0.84458714262376</v>
      </c>
      <c r="H23" s="3">
        <v>17181.5774971012</v>
      </c>
      <c r="I23">
        <v>98.142904430594697</v>
      </c>
      <c r="J23">
        <v>0.81863381248150302</v>
      </c>
      <c r="K23" s="3">
        <v>15808.4320177514</v>
      </c>
      <c r="L23">
        <v>93.270197885196197</v>
      </c>
      <c r="M23">
        <v>0.768715132381526</v>
      </c>
      <c r="N23" s="3">
        <v>18173.497430929499</v>
      </c>
      <c r="O23">
        <v>100.058209510681</v>
      </c>
      <c r="P23">
        <v>0.81646737246440404</v>
      </c>
      <c r="R23" s="4" t="s">
        <v>35</v>
      </c>
    </row>
    <row r="24" spans="1:18" x14ac:dyDescent="0.2">
      <c r="A24">
        <v>804</v>
      </c>
      <c r="B24" s="3">
        <v>6436.1988782199696</v>
      </c>
      <c r="C24">
        <v>153.14292907714801</v>
      </c>
      <c r="D24">
        <v>0.69337406186778905</v>
      </c>
      <c r="E24" s="3">
        <v>6392.3527955814998</v>
      </c>
      <c r="F24">
        <v>121.618919795236</v>
      </c>
      <c r="G24">
        <v>0.80897774369873499</v>
      </c>
      <c r="H24" s="3">
        <v>5433.9425324043495</v>
      </c>
      <c r="I24">
        <v>134.861612674903</v>
      </c>
      <c r="J24">
        <v>0.72438282371418605</v>
      </c>
      <c r="K24" s="3">
        <v>6990.9651088169903</v>
      </c>
      <c r="L24">
        <v>140.01583858550299</v>
      </c>
      <c r="M24">
        <v>0.98599639292083896</v>
      </c>
      <c r="N24" s="3">
        <v>6077.0463071575396</v>
      </c>
      <c r="O24">
        <v>134.81227658244001</v>
      </c>
      <c r="P24">
        <v>0.77815755797185204</v>
      </c>
      <c r="R24" s="4" t="s">
        <v>37</v>
      </c>
    </row>
    <row r="25" spans="1:18" x14ac:dyDescent="0.2">
      <c r="A25">
        <v>812</v>
      </c>
      <c r="B25" s="3">
        <v>30687.990615222701</v>
      </c>
      <c r="C25">
        <v>103.806698322296</v>
      </c>
      <c r="D25">
        <v>2.54994946615468</v>
      </c>
      <c r="E25" s="3">
        <v>25246.989055296301</v>
      </c>
      <c r="F25">
        <v>87.441142348662893</v>
      </c>
      <c r="G25">
        <v>1.9372161433797701</v>
      </c>
      <c r="H25" s="3">
        <v>26419.086423449</v>
      </c>
      <c r="I25">
        <v>95.406881460887206</v>
      </c>
      <c r="J25">
        <v>2.1684078061803498</v>
      </c>
      <c r="K25" s="3">
        <v>25413.740625896498</v>
      </c>
      <c r="L25">
        <v>94.993429572551904</v>
      </c>
      <c r="M25">
        <v>2.3479268930945301</v>
      </c>
      <c r="N25" s="3">
        <v>25192.704359848602</v>
      </c>
      <c r="O25">
        <v>91.261687381881899</v>
      </c>
      <c r="P25">
        <v>2.0288927531614198</v>
      </c>
      <c r="R25" s="4" t="s">
        <v>39</v>
      </c>
    </row>
    <row r="26" spans="1:18" x14ac:dyDescent="0.2">
      <c r="A26">
        <v>816</v>
      </c>
      <c r="B26" s="3">
        <v>4008.2839220793699</v>
      </c>
      <c r="C26">
        <v>164.77916240692099</v>
      </c>
      <c r="D26">
        <v>0.27800619412502803</v>
      </c>
      <c r="E26" s="3">
        <v>5744.0279621826703</v>
      </c>
      <c r="F26">
        <v>163.98991841072501</v>
      </c>
      <c r="G26">
        <v>0.36798252511766899</v>
      </c>
      <c r="H26" s="3">
        <v>9089.1695818498702</v>
      </c>
      <c r="I26">
        <v>185.046530792959</v>
      </c>
      <c r="J26">
        <v>0.61943131402477802</v>
      </c>
      <c r="K26" s="3">
        <v>4195.9631245013798</v>
      </c>
      <c r="L26">
        <v>176.477333405596</v>
      </c>
      <c r="M26">
        <v>0.28991765471879499</v>
      </c>
      <c r="N26" s="3">
        <v>3060.6652593507702</v>
      </c>
      <c r="O26">
        <v>168.488138301058</v>
      </c>
      <c r="P26">
        <v>0.23683748430802101</v>
      </c>
      <c r="R26" s="17" t="s">
        <v>134</v>
      </c>
    </row>
    <row r="27" spans="1:18" x14ac:dyDescent="0.2">
      <c r="A27">
        <v>822</v>
      </c>
      <c r="B27" s="3">
        <v>27102.903165528201</v>
      </c>
      <c r="C27">
        <v>139.489579200744</v>
      </c>
      <c r="D27">
        <v>0.85483730118235501</v>
      </c>
      <c r="E27" s="3">
        <v>27464.9795929213</v>
      </c>
      <c r="F27">
        <v>117.853039235164</v>
      </c>
      <c r="G27">
        <v>0.73394217883056201</v>
      </c>
      <c r="H27" s="3">
        <v>23250.296370924101</v>
      </c>
      <c r="I27">
        <v>110.07439812936001</v>
      </c>
      <c r="J27">
        <v>0.62413051759890203</v>
      </c>
      <c r="K27" s="3">
        <v>26723.766730182298</v>
      </c>
      <c r="L27">
        <v>119.333195085798</v>
      </c>
      <c r="M27">
        <v>0.85417024330708302</v>
      </c>
      <c r="N27" s="3">
        <v>23284.672073510701</v>
      </c>
      <c r="O27">
        <v>122.036100896433</v>
      </c>
      <c r="P27">
        <v>0.64860417013370997</v>
      </c>
      <c r="R27" s="4" t="s">
        <v>115</v>
      </c>
    </row>
    <row r="28" spans="1:18" x14ac:dyDescent="0.2">
      <c r="A28">
        <v>827</v>
      </c>
      <c r="B28" s="3">
        <v>73899.415315684295</v>
      </c>
      <c r="C28">
        <v>109.412109851837</v>
      </c>
      <c r="D28">
        <v>1.08318600614361</v>
      </c>
      <c r="E28" s="3">
        <v>82190.067771210102</v>
      </c>
      <c r="F28">
        <v>103.70931982881601</v>
      </c>
      <c r="G28">
        <v>1.34332111269333</v>
      </c>
      <c r="H28" s="3">
        <v>73377.446300969095</v>
      </c>
      <c r="I28">
        <v>100.39369949427</v>
      </c>
      <c r="J28">
        <v>1.1444634156262301</v>
      </c>
      <c r="K28" s="3">
        <v>86947.525139111298</v>
      </c>
      <c r="L28">
        <v>126.561191303676</v>
      </c>
      <c r="M28">
        <v>1.3964742667460801</v>
      </c>
      <c r="N28" s="3">
        <v>75991.681460080305</v>
      </c>
      <c r="O28">
        <v>111.89213388811601</v>
      </c>
      <c r="P28">
        <v>1.11615212269752</v>
      </c>
      <c r="R28" s="4" t="s">
        <v>113</v>
      </c>
    </row>
    <row r="29" spans="1:18" x14ac:dyDescent="0.2">
      <c r="A29">
        <v>838</v>
      </c>
      <c r="B29" s="3">
        <v>13140.6069875025</v>
      </c>
      <c r="C29">
        <v>153.76707315444901</v>
      </c>
      <c r="D29">
        <v>1.13035565921217</v>
      </c>
      <c r="E29" s="3">
        <v>10118.810978817801</v>
      </c>
      <c r="F29">
        <v>96.573023574976304</v>
      </c>
      <c r="G29">
        <v>1.0686986186384599</v>
      </c>
      <c r="H29" s="3">
        <v>8949.0333123120799</v>
      </c>
      <c r="I29">
        <v>87.796470808189497</v>
      </c>
      <c r="J29">
        <v>0.90708445191853704</v>
      </c>
      <c r="K29" s="3">
        <v>8667.2616359924796</v>
      </c>
      <c r="L29">
        <v>81.556699544267602</v>
      </c>
      <c r="M29">
        <v>0.82256468654593895</v>
      </c>
      <c r="N29" s="3">
        <v>7447.2918633528197</v>
      </c>
      <c r="O29">
        <v>82.973702854647797</v>
      </c>
      <c r="P29">
        <v>0.74287030813594002</v>
      </c>
      <c r="R29" s="4" t="s">
        <v>133</v>
      </c>
    </row>
    <row r="30" spans="1:18" x14ac:dyDescent="0.2">
      <c r="A30">
        <v>876</v>
      </c>
      <c r="B30" s="3">
        <v>844.71000941151397</v>
      </c>
      <c r="C30">
        <v>200</v>
      </c>
      <c r="D30">
        <v>0.163335965346561</v>
      </c>
      <c r="E30" s="3">
        <v>1937.40167626628</v>
      </c>
      <c r="F30">
        <v>200</v>
      </c>
      <c r="G30">
        <v>0.37462249153620603</v>
      </c>
      <c r="H30" s="3">
        <v>3697.74</v>
      </c>
      <c r="I30">
        <v>200</v>
      </c>
      <c r="J30">
        <v>0.71500741886562502</v>
      </c>
      <c r="K30" s="3">
        <v>4161.4796251396301</v>
      </c>
      <c r="L30">
        <v>200</v>
      </c>
      <c r="M30">
        <v>0.80467766945025399</v>
      </c>
      <c r="N30" s="3">
        <v>831.61779785156205</v>
      </c>
      <c r="O30">
        <v>200</v>
      </c>
      <c r="P30">
        <v>0.16080440894291101</v>
      </c>
    </row>
    <row r="31" spans="1:18" x14ac:dyDescent="0.2">
      <c r="A31">
        <v>877</v>
      </c>
      <c r="B31" s="3">
        <v>2072.8885642986202</v>
      </c>
      <c r="C31">
        <v>187.03837394714299</v>
      </c>
      <c r="D31">
        <v>0.59970672092836097</v>
      </c>
      <c r="E31" s="3">
        <v>1979.0465472251301</v>
      </c>
      <c r="F31">
        <v>166.113674015681</v>
      </c>
      <c r="G31">
        <v>0.497582408090738</v>
      </c>
      <c r="H31" s="3">
        <v>2085.3349596052499</v>
      </c>
      <c r="I31">
        <v>173.01118194448699</v>
      </c>
      <c r="J31">
        <v>0.64132917757570695</v>
      </c>
      <c r="K31" s="3">
        <v>2250.66626253912</v>
      </c>
      <c r="L31">
        <v>171.56704372455999</v>
      </c>
      <c r="M31">
        <v>0.80195486497517698</v>
      </c>
      <c r="N31" s="3">
        <v>2026.1069433468699</v>
      </c>
      <c r="O31">
        <v>171.28277584828899</v>
      </c>
      <c r="P31">
        <v>0.52585658817418102</v>
      </c>
      <c r="R31" s="21" t="s">
        <v>141</v>
      </c>
    </row>
    <row r="32" spans="1:18" x14ac:dyDescent="0.2">
      <c r="A32">
        <v>888</v>
      </c>
      <c r="B32" s="3">
        <v>4814.6763131076596</v>
      </c>
      <c r="C32">
        <v>99.171459674835205</v>
      </c>
      <c r="D32">
        <v>0.53598828807949495</v>
      </c>
      <c r="E32" s="3">
        <v>5036.2184129450998</v>
      </c>
      <c r="F32">
        <v>96.403316844402696</v>
      </c>
      <c r="G32">
        <v>0.54947203951392798</v>
      </c>
      <c r="H32" s="3">
        <v>4485.6302915112501</v>
      </c>
      <c r="I32">
        <v>87.674727929525503</v>
      </c>
      <c r="J32">
        <v>0.49313260185063801</v>
      </c>
      <c r="K32" s="3">
        <v>4897.6139144990202</v>
      </c>
      <c r="L32">
        <v>88.616605704294003</v>
      </c>
      <c r="M32">
        <v>0.537018661273864</v>
      </c>
      <c r="N32" s="3">
        <v>5480.6918037437999</v>
      </c>
      <c r="O32">
        <v>114.258252786017</v>
      </c>
      <c r="P32">
        <v>0.50667583055020704</v>
      </c>
      <c r="R32" s="29" t="s">
        <v>138</v>
      </c>
    </row>
    <row r="33" spans="1:18" x14ac:dyDescent="0.2">
      <c r="A33">
        <v>890</v>
      </c>
      <c r="B33" s="3">
        <v>7668.1880519455099</v>
      </c>
      <c r="C33">
        <v>71.160727739334106</v>
      </c>
      <c r="D33">
        <v>0.64202963203672803</v>
      </c>
      <c r="E33" s="3">
        <v>6860.7628469527199</v>
      </c>
      <c r="F33">
        <v>62.753118508957797</v>
      </c>
      <c r="G33">
        <v>0.48869321768125001</v>
      </c>
      <c r="H33" s="3">
        <v>6082.6901456598698</v>
      </c>
      <c r="I33">
        <v>54.933040419494098</v>
      </c>
      <c r="J33">
        <v>0.50366683016382596</v>
      </c>
      <c r="K33" s="3">
        <v>7901.3310239616003</v>
      </c>
      <c r="L33">
        <v>60.851949404662903</v>
      </c>
      <c r="M33">
        <v>0.57378124540686004</v>
      </c>
      <c r="N33" s="3">
        <v>9598.0511292255997</v>
      </c>
      <c r="O33">
        <v>100.11789873580599</v>
      </c>
      <c r="P33">
        <v>0.70112071203970505</v>
      </c>
      <c r="R33" s="29" t="s">
        <v>139</v>
      </c>
    </row>
    <row r="34" spans="1:18" ht="68" customHeight="1" x14ac:dyDescent="0.2">
      <c r="A34" s="2" t="s">
        <v>81</v>
      </c>
      <c r="B34" s="3">
        <f>AVERAGE(B2:B33)</f>
        <v>28153.262754249743</v>
      </c>
      <c r="C34" s="3">
        <f t="shared" ref="C34:P34" si="0">AVERAGE(C2:C33)</f>
        <v>136.66801750659909</v>
      </c>
      <c r="D34" s="3">
        <f t="shared" si="0"/>
        <v>0.92675829771820972</v>
      </c>
      <c r="E34" s="3">
        <f t="shared" si="0"/>
        <v>21756.51288526904</v>
      </c>
      <c r="F34" s="3">
        <f t="shared" si="0"/>
        <v>122.5762731622614</v>
      </c>
      <c r="G34" s="3">
        <f t="shared" si="0"/>
        <v>0.73957392432502678</v>
      </c>
      <c r="H34" s="3">
        <f t="shared" si="0"/>
        <v>20053.324312844838</v>
      </c>
      <c r="I34" s="3">
        <f t="shared" si="0"/>
        <v>123.34548841204447</v>
      </c>
      <c r="J34" s="3">
        <f t="shared" si="0"/>
        <v>0.76644266800160521</v>
      </c>
      <c r="K34" s="3">
        <f t="shared" si="0"/>
        <v>21527.884507818912</v>
      </c>
      <c r="L34" s="3">
        <f t="shared" si="0"/>
        <v>126.16924789666169</v>
      </c>
      <c r="M34" s="3">
        <f t="shared" si="0"/>
        <v>0.84965084634511601</v>
      </c>
      <c r="N34" s="3">
        <f t="shared" si="0"/>
        <v>21819.749878123686</v>
      </c>
      <c r="O34" s="3">
        <f t="shared" si="0"/>
        <v>127.39921948143585</v>
      </c>
      <c r="P34" s="3">
        <f t="shared" si="0"/>
        <v>0.70278552214979106</v>
      </c>
      <c r="R34" s="29" t="s">
        <v>140</v>
      </c>
    </row>
    <row r="38" spans="1:18" x14ac:dyDescent="0.2">
      <c r="A38" t="s">
        <v>89</v>
      </c>
    </row>
    <row r="39" spans="1:18" ht="51" x14ac:dyDescent="0.2">
      <c r="A39" s="1" t="s">
        <v>0</v>
      </c>
      <c r="B39" s="2" t="s">
        <v>1</v>
      </c>
      <c r="C39" s="1" t="s">
        <v>2</v>
      </c>
      <c r="D39" s="1" t="s">
        <v>3</v>
      </c>
      <c r="E39" s="2" t="s">
        <v>4</v>
      </c>
      <c r="F39" s="1" t="s">
        <v>5</v>
      </c>
      <c r="G39" s="1" t="s">
        <v>6</v>
      </c>
      <c r="H39" s="2" t="s">
        <v>7</v>
      </c>
      <c r="I39" s="1" t="s">
        <v>8</v>
      </c>
      <c r="J39" s="1" t="s">
        <v>9</v>
      </c>
      <c r="K39" s="2" t="s">
        <v>10</v>
      </c>
      <c r="L39" s="1" t="s">
        <v>11</v>
      </c>
      <c r="M39" s="1" t="s">
        <v>12</v>
      </c>
      <c r="N39" s="2" t="s">
        <v>13</v>
      </c>
      <c r="O39" s="1" t="s">
        <v>14</v>
      </c>
      <c r="P39" s="1" t="s">
        <v>15</v>
      </c>
    </row>
    <row r="40" spans="1:18" x14ac:dyDescent="0.2">
      <c r="A40">
        <v>47</v>
      </c>
      <c r="B40" s="3">
        <f>B2/MIN($B2,$E2,$H2,$K2,$N2)</f>
        <v>1.369701453250536</v>
      </c>
      <c r="C40" s="5">
        <f>C2</f>
        <v>130.115413665771</v>
      </c>
      <c r="D40" s="5">
        <f>D2</f>
        <v>0.72766589935653103</v>
      </c>
      <c r="E40" s="3">
        <f>E2/MIN($B2,$E2,$H2,$K2,$N2)</f>
        <v>1.0187130033403549</v>
      </c>
      <c r="F40" s="5">
        <f>F2</f>
        <v>124.46870657701101</v>
      </c>
      <c r="G40" s="5">
        <f>G2</f>
        <v>0.59550928053681895</v>
      </c>
      <c r="H40" s="3">
        <f>H2/MIN($B2,$E2,$H2,$K2,$N2)</f>
        <v>1</v>
      </c>
      <c r="I40" s="5">
        <f>I2</f>
        <v>133.09951607286499</v>
      </c>
      <c r="J40" s="5">
        <f>J2</f>
        <v>0.63025076166490401</v>
      </c>
      <c r="K40" s="3">
        <f>K2/MIN($B2,$E2,$H2,$K2,$N2)</f>
        <v>1.1280146215894788</v>
      </c>
      <c r="L40" s="5">
        <f>L2</f>
        <v>130.35267333840699</v>
      </c>
      <c r="M40" s="5">
        <f>M2</f>
        <v>0.73612700387724395</v>
      </c>
      <c r="N40" s="3">
        <f>N2/MIN($B2,$E2,$H2,$K2,$N2)</f>
        <v>1.0098913382461392</v>
      </c>
      <c r="O40" s="5">
        <f>O2</f>
        <v>128.27809128480899</v>
      </c>
      <c r="P40" s="5">
        <f>P2</f>
        <v>0.59473960265235504</v>
      </c>
    </row>
    <row r="41" spans="1:18" x14ac:dyDescent="0.2">
      <c r="A41">
        <v>65</v>
      </c>
      <c r="B41" s="3">
        <f t="shared" ref="B41:B71" si="1">B3/MIN($B3,$E3,$H3,$K3,$N3)</f>
        <v>1.6031282076064401</v>
      </c>
      <c r="C41" s="5">
        <f t="shared" ref="C41:D41" si="2">C3</f>
        <v>189.438068866729</v>
      </c>
      <c r="D41" s="5">
        <f t="shared" si="2"/>
        <v>1.36627158461965</v>
      </c>
      <c r="E41" s="3">
        <f t="shared" ref="E41:E71" si="3">E3/MIN($B3,$E3,$H3,$K3,$N3)</f>
        <v>1.0727944944906076</v>
      </c>
      <c r="F41" s="5">
        <f t="shared" ref="F41:G41" si="4">F3</f>
        <v>179.19803551747</v>
      </c>
      <c r="G41" s="5">
        <f t="shared" si="4"/>
        <v>0.99346582017927998</v>
      </c>
      <c r="H41" s="3">
        <f t="shared" ref="H41:H71" si="5">H3/MIN($B3,$E3,$H3,$K3,$N3)</f>
        <v>1</v>
      </c>
      <c r="I41" s="5">
        <f t="shared" ref="I41:J41" si="6">I3</f>
        <v>170.688963879336</v>
      </c>
      <c r="J41" s="5">
        <f t="shared" si="6"/>
        <v>0.92270052487774201</v>
      </c>
      <c r="K41" s="3">
        <f t="shared" ref="K41:K71" si="7">K3/MIN($B3,$E3,$H3,$K3,$N3)</f>
        <v>1.0419326993999589</v>
      </c>
      <c r="L41" s="5">
        <f t="shared" ref="L41:M41" si="8">L3</f>
        <v>174.96838247696999</v>
      </c>
      <c r="M41" s="5">
        <f t="shared" si="8"/>
        <v>1.11115957395275</v>
      </c>
      <c r="N41" s="3">
        <f t="shared" ref="N41:N71" si="9">N3/MIN($B3,$E3,$H3,$K3,$N3)</f>
        <v>1.0319413905980666</v>
      </c>
      <c r="O41" s="5">
        <f t="shared" ref="O41:P41" si="10">O3</f>
        <v>180.806041790465</v>
      </c>
      <c r="P41" s="5">
        <f t="shared" si="10"/>
        <v>0.82117461602130704</v>
      </c>
    </row>
    <row r="42" spans="1:18" x14ac:dyDescent="0.2">
      <c r="A42">
        <v>98</v>
      </c>
      <c r="B42" s="3">
        <f t="shared" si="1"/>
        <v>3.1827292258636395</v>
      </c>
      <c r="C42" s="5">
        <f t="shared" ref="C42:D42" si="11">C4</f>
        <v>194.514667987823</v>
      </c>
      <c r="D42" s="5">
        <f t="shared" si="11"/>
        <v>0.86245052241768205</v>
      </c>
      <c r="E42" s="3">
        <f t="shared" si="3"/>
        <v>1</v>
      </c>
      <c r="F42" s="5">
        <f t="shared" ref="F42:G42" si="12">F4</f>
        <v>198.655282308875</v>
      </c>
      <c r="G42" s="5">
        <f t="shared" si="12"/>
        <v>0.34840919764515299</v>
      </c>
      <c r="H42" s="3">
        <f t="shared" si="5"/>
        <v>2.0823892684670224</v>
      </c>
      <c r="I42" s="5">
        <f t="shared" ref="I42:J42" si="13">I4</f>
        <v>194.261904109027</v>
      </c>
      <c r="J42" s="5">
        <f t="shared" si="13"/>
        <v>0.85147562504311103</v>
      </c>
      <c r="K42" s="3">
        <f t="shared" si="7"/>
        <v>3.6825653589474667</v>
      </c>
      <c r="L42" s="5">
        <f t="shared" ref="L42:M42" si="14">L4</f>
        <v>195.92005612829399</v>
      </c>
      <c r="M42" s="5">
        <f t="shared" si="14"/>
        <v>1.4747012709323899</v>
      </c>
      <c r="N42" s="3">
        <f t="shared" si="9"/>
        <v>1.7734877937377143</v>
      </c>
      <c r="O42" s="5">
        <f t="shared" ref="O42:P42" si="15">O4</f>
        <v>193.780743391698</v>
      </c>
      <c r="P42" s="5">
        <f t="shared" si="15"/>
        <v>0.66718844527100496</v>
      </c>
    </row>
    <row r="43" spans="1:18" x14ac:dyDescent="0.2">
      <c r="A43">
        <v>114</v>
      </c>
      <c r="B43" s="3">
        <f t="shared" si="1"/>
        <v>1.3155334751326841</v>
      </c>
      <c r="C43" s="5">
        <f t="shared" ref="C43:D43" si="16">C5</f>
        <v>66.651529073715196</v>
      </c>
      <c r="D43" s="5">
        <f t="shared" si="16"/>
        <v>0.78795331646876898</v>
      </c>
      <c r="E43" s="3">
        <f t="shared" si="3"/>
        <v>1.2722824318277417</v>
      </c>
      <c r="F43" s="5">
        <f t="shared" ref="F43:G43" si="17">F5</f>
        <v>52.295170773032503</v>
      </c>
      <c r="G43" s="5">
        <f t="shared" si="17"/>
        <v>0.6589834757659</v>
      </c>
      <c r="H43" s="3">
        <f t="shared" si="5"/>
        <v>1.0584266034368952</v>
      </c>
      <c r="I43" s="5">
        <f t="shared" ref="I43:J43" si="18">I5</f>
        <v>45.775629863823902</v>
      </c>
      <c r="J43" s="5">
        <f t="shared" si="18"/>
        <v>0.58366557823145504</v>
      </c>
      <c r="K43" s="3">
        <f t="shared" si="7"/>
        <v>1</v>
      </c>
      <c r="L43" s="5">
        <f t="shared" ref="L43:M43" si="19">L5</f>
        <v>48.395242166673199</v>
      </c>
      <c r="M43" s="5">
        <f t="shared" si="19"/>
        <v>0.58470913901064703</v>
      </c>
      <c r="N43" s="3">
        <f t="shared" si="9"/>
        <v>1.0173647217060917</v>
      </c>
      <c r="O43" s="5">
        <f t="shared" ref="O43:P43" si="20">O5</f>
        <v>44.451944842090498</v>
      </c>
      <c r="P43" s="5">
        <f t="shared" si="20"/>
        <v>0.53419209938944401</v>
      </c>
    </row>
    <row r="44" spans="1:18" x14ac:dyDescent="0.2">
      <c r="A44">
        <v>123</v>
      </c>
      <c r="B44" s="3">
        <f t="shared" si="1"/>
        <v>1.071825431386904</v>
      </c>
      <c r="C44" s="5">
        <f t="shared" ref="C44:D44" si="21">C6</f>
        <v>124.973177909851</v>
      </c>
      <c r="D44" s="5">
        <f t="shared" si="21"/>
        <v>1.00018074433661</v>
      </c>
      <c r="E44" s="3">
        <f t="shared" si="3"/>
        <v>1</v>
      </c>
      <c r="F44" s="5">
        <f t="shared" ref="F44:G44" si="22">F6</f>
        <v>121.95017267975</v>
      </c>
      <c r="G44" s="5">
        <f t="shared" si="22"/>
        <v>0.99921980378140496</v>
      </c>
      <c r="H44" s="3">
        <f t="shared" si="5"/>
        <v>1.0135402460994636</v>
      </c>
      <c r="I44" s="5">
        <f t="shared" ref="I44:J44" si="23">I6</f>
        <v>118.576324552342</v>
      </c>
      <c r="J44" s="5">
        <f t="shared" si="23"/>
        <v>0.99125014878919204</v>
      </c>
      <c r="K44" s="3">
        <f t="shared" si="7"/>
        <v>1.0579685098352936</v>
      </c>
      <c r="L44" s="5">
        <f t="shared" ref="L44:M44" si="24">L6</f>
        <v>122.414678559048</v>
      </c>
      <c r="M44" s="5">
        <f t="shared" si="24"/>
        <v>0.95636913710293803</v>
      </c>
      <c r="N44" s="3">
        <f t="shared" si="9"/>
        <v>1.0998034309179285</v>
      </c>
      <c r="O44" s="5">
        <f t="shared" ref="O44:P44" si="25">O6</f>
        <v>129.58774140499801</v>
      </c>
      <c r="P44" s="5">
        <f t="shared" si="25"/>
        <v>0.96336275807284999</v>
      </c>
    </row>
    <row r="45" spans="1:18" x14ac:dyDescent="0.2">
      <c r="A45">
        <v>168</v>
      </c>
      <c r="B45" s="3">
        <f t="shared" si="1"/>
        <v>1.0599125192720127</v>
      </c>
      <c r="C45" s="5">
        <f t="shared" ref="C45:D45" si="26">C7</f>
        <v>138.045465946197</v>
      </c>
      <c r="D45" s="5">
        <f t="shared" si="26"/>
        <v>1.1051747396921501</v>
      </c>
      <c r="E45" s="3">
        <f t="shared" si="3"/>
        <v>1.1979484298940135</v>
      </c>
      <c r="F45" s="5">
        <f t="shared" ref="F45:G45" si="27">F7</f>
        <v>139.36390958595899</v>
      </c>
      <c r="G45" s="5">
        <f t="shared" si="27"/>
        <v>1.3221926509023001</v>
      </c>
      <c r="H45" s="3">
        <f t="shared" si="5"/>
        <v>1</v>
      </c>
      <c r="I45" s="5">
        <f t="shared" ref="I45:J45" si="28">I7</f>
        <v>127.964716592823</v>
      </c>
      <c r="J45" s="5">
        <f t="shared" si="28"/>
        <v>0.99294144370821802</v>
      </c>
      <c r="K45" s="3">
        <f t="shared" si="7"/>
        <v>1.0712350068901459</v>
      </c>
      <c r="L45" s="5">
        <f t="shared" ref="L45:M45" si="29">L7</f>
        <v>153.665139916703</v>
      </c>
      <c r="M45" s="5">
        <f t="shared" si="29"/>
        <v>1.3298729978008501</v>
      </c>
      <c r="N45" s="3">
        <f t="shared" si="9"/>
        <v>1.0617196445418258</v>
      </c>
      <c r="O45" s="5">
        <f t="shared" ref="O45:P45" si="30">O7</f>
        <v>132.774359166545</v>
      </c>
      <c r="P45" s="5">
        <f t="shared" si="30"/>
        <v>0.97896927384805099</v>
      </c>
    </row>
    <row r="46" spans="1:18" x14ac:dyDescent="0.2">
      <c r="A46">
        <v>172</v>
      </c>
      <c r="B46" s="3">
        <f t="shared" si="1"/>
        <v>1.159388899285891</v>
      </c>
      <c r="C46" s="5">
        <f t="shared" ref="C46:D46" si="31">C8</f>
        <v>122.664177417755</v>
      </c>
      <c r="D46" s="5">
        <f t="shared" si="31"/>
        <v>0.72695248655853195</v>
      </c>
      <c r="E46" s="3">
        <f t="shared" si="3"/>
        <v>1</v>
      </c>
      <c r="F46" s="5">
        <f t="shared" ref="F46:G46" si="32">F8</f>
        <v>122.744314063288</v>
      </c>
      <c r="G46" s="5">
        <f t="shared" si="32"/>
        <v>0.78170999555890597</v>
      </c>
      <c r="H46" s="3">
        <f t="shared" si="5"/>
        <v>1.0360316677232699</v>
      </c>
      <c r="I46" s="5">
        <f t="shared" ref="I46:J46" si="33">I8</f>
        <v>123.570470026601</v>
      </c>
      <c r="J46" s="5">
        <f t="shared" si="33"/>
        <v>0.81525551417983499</v>
      </c>
      <c r="K46" s="3">
        <f t="shared" si="7"/>
        <v>1.2002404010886949</v>
      </c>
      <c r="L46" s="5">
        <f t="shared" ref="L46:M46" si="34">L8</f>
        <v>136.10116558410601</v>
      </c>
      <c r="M46" s="5">
        <f t="shared" si="34"/>
        <v>1.14552319486529</v>
      </c>
      <c r="N46" s="3">
        <f t="shared" si="9"/>
        <v>1.0242919796637346</v>
      </c>
      <c r="O46" s="5">
        <f t="shared" ref="O46:P46" si="35">O8</f>
        <v>112.339694666629</v>
      </c>
      <c r="P46" s="5">
        <f t="shared" si="35"/>
        <v>0.57392657186613805</v>
      </c>
    </row>
    <row r="47" spans="1:18" x14ac:dyDescent="0.2">
      <c r="A47">
        <v>185</v>
      </c>
      <c r="B47" s="3">
        <f t="shared" si="1"/>
        <v>1.0411734759168085</v>
      </c>
      <c r="C47" s="5">
        <f t="shared" ref="C47:D47" si="36">C9</f>
        <v>107.691121101379</v>
      </c>
      <c r="D47" s="5">
        <f t="shared" si="36"/>
        <v>0.89809370602088201</v>
      </c>
      <c r="E47" s="3">
        <f t="shared" si="3"/>
        <v>1</v>
      </c>
      <c r="F47" s="5">
        <f t="shared" ref="F47:G47" si="37">F9</f>
        <v>97.700367494684201</v>
      </c>
      <c r="G47" s="5">
        <f t="shared" si="37"/>
        <v>0.85835183006424198</v>
      </c>
      <c r="H47" s="3">
        <f t="shared" si="5"/>
        <v>1.0151430575339651</v>
      </c>
      <c r="I47" s="5">
        <f t="shared" ref="I47:J47" si="38">I9</f>
        <v>98.923784025931099</v>
      </c>
      <c r="J47" s="5">
        <f t="shared" si="38"/>
        <v>0.88237209935265903</v>
      </c>
      <c r="K47" s="3">
        <f t="shared" si="7"/>
        <v>1.0412699404739569</v>
      </c>
      <c r="L47" s="5">
        <f t="shared" ref="L47:M47" si="39">L9</f>
        <v>107.732038446202</v>
      </c>
      <c r="M47" s="5">
        <f t="shared" si="39"/>
        <v>0.87757273638247602</v>
      </c>
      <c r="N47" s="3">
        <f t="shared" si="9"/>
        <v>1.0209065448540398</v>
      </c>
      <c r="O47" s="5">
        <f t="shared" ref="O47:P47" si="40">O9</f>
        <v>100.35042650851599</v>
      </c>
      <c r="P47" s="5">
        <f t="shared" si="40"/>
        <v>0.877081066545082</v>
      </c>
    </row>
    <row r="48" spans="1:18" x14ac:dyDescent="0.2">
      <c r="A48">
        <v>195</v>
      </c>
      <c r="B48" s="3">
        <f t="shared" si="1"/>
        <v>1.5178490507063382</v>
      </c>
      <c r="C48" s="5">
        <f t="shared" ref="C48:D48" si="41">C10</f>
        <v>121.386015415191</v>
      </c>
      <c r="D48" s="5">
        <f t="shared" si="41"/>
        <v>0.77596498252594803</v>
      </c>
      <c r="E48" s="3">
        <f t="shared" si="3"/>
        <v>1.0262314878578744</v>
      </c>
      <c r="F48" s="5">
        <f t="shared" ref="F48:G48" si="42">F10</f>
        <v>90.783409211563495</v>
      </c>
      <c r="G48" s="5">
        <f t="shared" si="42"/>
        <v>0.52772235836524095</v>
      </c>
      <c r="H48" s="3">
        <f t="shared" si="5"/>
        <v>1</v>
      </c>
      <c r="I48" s="5">
        <f t="shared" ref="I48:J48" si="43">I10</f>
        <v>94.182894900685795</v>
      </c>
      <c r="J48" s="5">
        <f t="shared" si="43"/>
        <v>0.53550677724887197</v>
      </c>
      <c r="K48" s="3">
        <f t="shared" si="7"/>
        <v>1.0438983885595747</v>
      </c>
      <c r="L48" s="5">
        <f t="shared" ref="L48:M48" si="44">L10</f>
        <v>97.199117481695694</v>
      </c>
      <c r="M48" s="5">
        <f t="shared" si="44"/>
        <v>0.58370219004276003</v>
      </c>
      <c r="N48" s="3">
        <f t="shared" si="9"/>
        <v>1.0107993600151857</v>
      </c>
      <c r="O48" s="5">
        <f t="shared" ref="O48:P48" si="45">O10</f>
        <v>82.009653040326697</v>
      </c>
      <c r="P48" s="5">
        <f t="shared" si="45"/>
        <v>0.45588178821049602</v>
      </c>
    </row>
    <row r="49" spans="1:16" x14ac:dyDescent="0.2">
      <c r="A49">
        <v>197</v>
      </c>
      <c r="B49" s="3">
        <f t="shared" si="1"/>
        <v>1.2065070723370066</v>
      </c>
      <c r="C49" s="5">
        <f t="shared" ref="C49:D49" si="46">C11</f>
        <v>152.57120132446201</v>
      </c>
      <c r="D49" s="5">
        <f t="shared" si="46"/>
        <v>0.84962433737336795</v>
      </c>
      <c r="E49" s="3">
        <f t="shared" si="3"/>
        <v>1.1458770445523967</v>
      </c>
      <c r="F49" s="5">
        <f t="shared" ref="F49:G49" si="47">F11</f>
        <v>139.818165296465</v>
      </c>
      <c r="G49" s="5">
        <f t="shared" si="47"/>
        <v>0.83446832872863996</v>
      </c>
      <c r="H49" s="3">
        <f t="shared" si="5"/>
        <v>1</v>
      </c>
      <c r="I49" s="5">
        <f t="shared" ref="I49:J49" si="48">I11</f>
        <v>136.353942499</v>
      </c>
      <c r="J49" s="5">
        <f t="shared" si="48"/>
        <v>0.76172098907588404</v>
      </c>
      <c r="K49" s="3">
        <f t="shared" si="7"/>
        <v>1.0414708936039188</v>
      </c>
      <c r="L49" s="5">
        <f t="shared" ref="L49:M49" si="49">L11</f>
        <v>144.066490913422</v>
      </c>
      <c r="M49" s="5">
        <f t="shared" si="49"/>
        <v>0.72105700581758303</v>
      </c>
      <c r="N49" s="3">
        <f t="shared" si="9"/>
        <v>1.2223987171286828</v>
      </c>
      <c r="O49" s="5">
        <f t="shared" ref="O49:P49" si="50">O11</f>
        <v>147.10457249817199</v>
      </c>
      <c r="P49" s="5">
        <f t="shared" si="50"/>
        <v>0.66511829664916799</v>
      </c>
    </row>
    <row r="50" spans="1:16" x14ac:dyDescent="0.2">
      <c r="A50">
        <v>237</v>
      </c>
      <c r="B50" s="3">
        <f t="shared" si="1"/>
        <v>1.6728201453664118</v>
      </c>
      <c r="C50" s="5">
        <f t="shared" ref="C50:D50" si="51">C12</f>
        <v>141.20523929595899</v>
      </c>
      <c r="D50" s="5">
        <f t="shared" si="51"/>
        <v>0.93335271116174201</v>
      </c>
      <c r="E50" s="3">
        <f t="shared" si="3"/>
        <v>1.1369415725422449</v>
      </c>
      <c r="F50" s="5">
        <f t="shared" ref="F50:G50" si="52">F12</f>
        <v>125.235767098729</v>
      </c>
      <c r="G50" s="5">
        <f t="shared" si="52"/>
        <v>0.54339941350544196</v>
      </c>
      <c r="H50" s="3">
        <f t="shared" si="5"/>
        <v>1</v>
      </c>
      <c r="I50" s="5">
        <f t="shared" ref="I50:J50" si="53">I12</f>
        <v>121.084652040596</v>
      </c>
      <c r="J50" s="5">
        <f t="shared" si="53"/>
        <v>0.64329731799169998</v>
      </c>
      <c r="K50" s="3">
        <f t="shared" si="7"/>
        <v>1.1799804381363579</v>
      </c>
      <c r="L50" s="5">
        <f t="shared" ref="L50:M50" si="54">L12</f>
        <v>121.453213714401</v>
      </c>
      <c r="M50" s="5">
        <f t="shared" si="54"/>
        <v>0.63983728996862499</v>
      </c>
      <c r="N50" s="3">
        <f t="shared" si="9"/>
        <v>1.0760793070677472</v>
      </c>
      <c r="O50" s="5">
        <f t="shared" ref="O50:P50" si="55">O12</f>
        <v>98.044194587162806</v>
      </c>
      <c r="P50" s="5">
        <f t="shared" si="55"/>
        <v>0.41401479311789402</v>
      </c>
    </row>
    <row r="51" spans="1:16" x14ac:dyDescent="0.2">
      <c r="A51">
        <v>272</v>
      </c>
      <c r="B51" s="3">
        <f t="shared" si="1"/>
        <v>1.4199215788077373</v>
      </c>
      <c r="C51" s="5">
        <f t="shared" ref="C51:D51" si="56">C13</f>
        <v>154.41483259200999</v>
      </c>
      <c r="D51" s="5">
        <f t="shared" si="56"/>
        <v>1.1111881493967</v>
      </c>
      <c r="E51" s="3">
        <f t="shared" si="3"/>
        <v>1</v>
      </c>
      <c r="F51" s="5">
        <f t="shared" ref="F51:G51" si="57">F13</f>
        <v>145.14119736861201</v>
      </c>
      <c r="G51" s="5">
        <f t="shared" si="57"/>
        <v>0.84864270259796903</v>
      </c>
      <c r="H51" s="3">
        <f t="shared" si="5"/>
        <v>1.1576315974682521</v>
      </c>
      <c r="I51" s="5">
        <f t="shared" ref="I51:J51" si="58">I13</f>
        <v>157.490594208913</v>
      </c>
      <c r="J51" s="5">
        <f t="shared" si="58"/>
        <v>0.95066487649961295</v>
      </c>
      <c r="K51" s="3">
        <f t="shared" si="7"/>
        <v>1.0405874367594081</v>
      </c>
      <c r="L51" s="5">
        <f t="shared" ref="L51:M51" si="59">L13</f>
        <v>149.510883940083</v>
      </c>
      <c r="M51" s="5">
        <f t="shared" si="59"/>
        <v>0.93730613412822095</v>
      </c>
      <c r="N51" s="3">
        <f t="shared" si="9"/>
        <v>1.0584671502140239</v>
      </c>
      <c r="O51" s="5">
        <f t="shared" ref="O51:P51" si="60">O13</f>
        <v>144.78376529002799</v>
      </c>
      <c r="P51" s="5">
        <f t="shared" si="60"/>
        <v>0.95326185072155201</v>
      </c>
    </row>
    <row r="52" spans="1:16" x14ac:dyDescent="0.2">
      <c r="A52">
        <v>279</v>
      </c>
      <c r="B52" s="3">
        <f t="shared" si="1"/>
        <v>1.8212811735583132</v>
      </c>
      <c r="C52" s="5">
        <f t="shared" ref="C52:D52" si="61">C14</f>
        <v>137.740159034729</v>
      </c>
      <c r="D52" s="5">
        <f t="shared" si="61"/>
        <v>0.976599334672278</v>
      </c>
      <c r="E52" s="3">
        <f t="shared" si="3"/>
        <v>1</v>
      </c>
      <c r="F52" s="5">
        <f t="shared" ref="F52:G52" si="62">F14</f>
        <v>91.364041413681093</v>
      </c>
      <c r="G52" s="5">
        <f t="shared" si="62"/>
        <v>0.57707656543660402</v>
      </c>
      <c r="H52" s="3">
        <f t="shared" si="5"/>
        <v>1.0090283691177497</v>
      </c>
      <c r="I52" s="5">
        <f t="shared" ref="I52:J52" si="63">I14</f>
        <v>88.960785392620096</v>
      </c>
      <c r="J52" s="5">
        <f t="shared" si="63"/>
        <v>0.52682450243328804</v>
      </c>
      <c r="K52" s="3">
        <f t="shared" si="7"/>
        <v>1.1345070109677922</v>
      </c>
      <c r="L52" s="5">
        <f t="shared" ref="L52:M52" si="64">L14</f>
        <v>108.600064499857</v>
      </c>
      <c r="M52" s="5">
        <f t="shared" si="64"/>
        <v>0.709612159908381</v>
      </c>
      <c r="N52" s="3">
        <f t="shared" si="9"/>
        <v>1.3753759518902438</v>
      </c>
      <c r="O52" s="5">
        <f t="shared" ref="O52:P52" si="65">O14</f>
        <v>109.564477502646</v>
      </c>
      <c r="P52" s="5">
        <f t="shared" si="65"/>
        <v>0.60769763966281698</v>
      </c>
    </row>
    <row r="53" spans="1:16" x14ac:dyDescent="0.2">
      <c r="A53">
        <v>709</v>
      </c>
      <c r="B53" s="3">
        <f t="shared" si="1"/>
        <v>2.6881028696368379</v>
      </c>
      <c r="C53" s="5">
        <f t="shared" ref="C53:D53" si="66">C15</f>
        <v>157.37278461456299</v>
      </c>
      <c r="D53" s="5">
        <f t="shared" si="66"/>
        <v>4.3376229150973999E-2</v>
      </c>
      <c r="E53" s="3">
        <f t="shared" si="3"/>
        <v>1.1280340833337859</v>
      </c>
      <c r="F53" s="5">
        <f t="shared" ref="F53:G53" si="67">F15</f>
        <v>183.67090019803399</v>
      </c>
      <c r="G53" s="5">
        <f t="shared" si="67"/>
        <v>1.2730766131148199E-2</v>
      </c>
      <c r="H53" s="3">
        <f t="shared" si="5"/>
        <v>2.5220993753576493</v>
      </c>
      <c r="I53" s="5">
        <f t="shared" ref="I53:J53" si="68">I15</f>
        <v>174.38783843747601</v>
      </c>
      <c r="J53" s="5">
        <f t="shared" si="68"/>
        <v>4.18807501293635E-2</v>
      </c>
      <c r="K53" s="3">
        <f t="shared" si="7"/>
        <v>1</v>
      </c>
      <c r="L53" s="5">
        <f t="shared" ref="L53:M53" si="69">L15</f>
        <v>127.525802636525</v>
      </c>
      <c r="M53" s="5">
        <f t="shared" si="69"/>
        <v>1.14674581360687E-2</v>
      </c>
      <c r="N53" s="3">
        <f t="shared" si="9"/>
        <v>1.0832750455163196</v>
      </c>
      <c r="O53" s="5">
        <f t="shared" ref="O53:P53" si="70">O15</f>
        <v>159.395951303408</v>
      </c>
      <c r="P53" s="5">
        <f t="shared" si="70"/>
        <v>1.2910365457316201E-2</v>
      </c>
    </row>
    <row r="54" spans="1:16" x14ac:dyDescent="0.2">
      <c r="A54">
        <v>712</v>
      </c>
      <c r="B54" s="3">
        <f t="shared" si="1"/>
        <v>1</v>
      </c>
      <c r="C54" s="5">
        <f t="shared" ref="C54:D54" si="71">C16</f>
        <v>127.954041957855</v>
      </c>
      <c r="D54" s="5">
        <f t="shared" si="71"/>
        <v>0.52639051760636701</v>
      </c>
      <c r="E54" s="3">
        <f t="shared" si="3"/>
        <v>1.1447468010576078</v>
      </c>
      <c r="F54" s="5">
        <f t="shared" ref="F54:G54" si="72">F16</f>
        <v>129.52510133865599</v>
      </c>
      <c r="G54" s="5">
        <f t="shared" si="72"/>
        <v>0.66111218449446796</v>
      </c>
      <c r="H54" s="3">
        <f t="shared" si="5"/>
        <v>1.0270592206173974</v>
      </c>
      <c r="I54" s="5">
        <f t="shared" ref="I54:J54" si="73">I16</f>
        <v>129.985446362701</v>
      </c>
      <c r="J54" s="5">
        <f t="shared" si="73"/>
        <v>0.58552473138415795</v>
      </c>
      <c r="K54" s="3">
        <f t="shared" si="7"/>
        <v>1.4996256382069777</v>
      </c>
      <c r="L54" s="5">
        <f t="shared" ref="L54:M54" si="74">L16</f>
        <v>137.51557128761499</v>
      </c>
      <c r="M54" s="5">
        <f t="shared" si="74"/>
        <v>1.0684839773960699</v>
      </c>
      <c r="N54" s="3">
        <f t="shared" si="9"/>
        <v>1.2715689446691627</v>
      </c>
      <c r="O54" s="5">
        <f t="shared" ref="O54:P54" si="75">O16</f>
        <v>159.67252349458599</v>
      </c>
      <c r="P54" s="5">
        <f t="shared" si="75"/>
        <v>0.57284308428391695</v>
      </c>
    </row>
    <row r="55" spans="1:16" x14ac:dyDescent="0.2">
      <c r="A55">
        <v>714</v>
      </c>
      <c r="B55" s="3">
        <f t="shared" si="1"/>
        <v>4.750345759066037</v>
      </c>
      <c r="C55" s="5">
        <f t="shared" ref="C55:D55" si="76">C17</f>
        <v>173.96701574325499</v>
      </c>
      <c r="D55" s="5">
        <f t="shared" si="76"/>
        <v>0.95639271171903195</v>
      </c>
      <c r="E55" s="3">
        <f t="shared" si="3"/>
        <v>1</v>
      </c>
      <c r="F55" s="5">
        <f t="shared" ref="F55:G55" si="77">F17</f>
        <v>115.85790890621099</v>
      </c>
      <c r="G55" s="5">
        <f t="shared" si="77"/>
        <v>0.27313364596908402</v>
      </c>
      <c r="H55" s="3">
        <f t="shared" si="5"/>
        <v>1.6272717790079296</v>
      </c>
      <c r="I55" s="5">
        <f t="shared" ref="I55:J55" si="78">I17</f>
        <v>144.49649734695001</v>
      </c>
      <c r="J55" s="5">
        <f t="shared" si="78"/>
        <v>0.48029473480947998</v>
      </c>
      <c r="K55" s="3">
        <f t="shared" si="7"/>
        <v>1.0377256359964055</v>
      </c>
      <c r="L55" s="5">
        <f t="shared" ref="L55:M55" si="79">L17</f>
        <v>156.98698024444701</v>
      </c>
      <c r="M55" s="5">
        <f t="shared" si="79"/>
        <v>0.23188524565431101</v>
      </c>
      <c r="N55" s="3">
        <f t="shared" si="9"/>
        <v>1.1720344594655883</v>
      </c>
      <c r="O55" s="5">
        <f t="shared" ref="O55:P55" si="80">O17</f>
        <v>170.31756034727101</v>
      </c>
      <c r="P55" s="5">
        <f t="shared" si="80"/>
        <v>0.30036178154784698</v>
      </c>
    </row>
    <row r="56" spans="1:16" x14ac:dyDescent="0.2">
      <c r="A56">
        <v>722</v>
      </c>
      <c r="B56" s="3">
        <f t="shared" si="1"/>
        <v>1.5852220945693116</v>
      </c>
      <c r="C56" s="5">
        <f t="shared" ref="C56:D56" si="81">C18</f>
        <v>132.22872018813999</v>
      </c>
      <c r="D56" s="5">
        <f t="shared" si="81"/>
        <v>0.99618992095557701</v>
      </c>
      <c r="E56" s="3">
        <f t="shared" si="3"/>
        <v>1.2044337533930662</v>
      </c>
      <c r="F56" s="5">
        <f t="shared" ref="F56:G56" si="82">F18</f>
        <v>119.58094322038301</v>
      </c>
      <c r="G56" s="5">
        <f t="shared" si="82"/>
        <v>0.83321798769566302</v>
      </c>
      <c r="H56" s="3">
        <f t="shared" si="5"/>
        <v>1</v>
      </c>
      <c r="I56" s="5">
        <f t="shared" ref="I56:J56" si="83">I18</f>
        <v>103.45067727983501</v>
      </c>
      <c r="J56" s="5">
        <f t="shared" si="83"/>
        <v>0.64223870494483803</v>
      </c>
      <c r="K56" s="3">
        <f t="shared" si="7"/>
        <v>1.1327052170447851</v>
      </c>
      <c r="L56" s="5">
        <f t="shared" ref="L56:M56" si="84">L18</f>
        <v>120.276721845857</v>
      </c>
      <c r="M56" s="5">
        <f t="shared" si="84"/>
        <v>0.785709638010746</v>
      </c>
      <c r="N56" s="3">
        <f t="shared" si="9"/>
        <v>1.1526677820207076</v>
      </c>
      <c r="O56" s="5">
        <f t="shared" ref="O56:P56" si="85">O18</f>
        <v>120.054979372242</v>
      </c>
      <c r="P56" s="5">
        <f t="shared" si="85"/>
        <v>0.81245491506434497</v>
      </c>
    </row>
    <row r="57" spans="1:16" x14ac:dyDescent="0.2">
      <c r="A57">
        <v>724</v>
      </c>
      <c r="B57" s="3">
        <f t="shared" si="1"/>
        <v>1.5555778073649573</v>
      </c>
      <c r="C57" s="5">
        <f t="shared" ref="C57:D57" si="86">C19</f>
        <v>89.393514394760103</v>
      </c>
      <c r="D57" s="5">
        <f t="shared" si="86"/>
        <v>1.0964845890342001</v>
      </c>
      <c r="E57" s="3">
        <f t="shared" si="3"/>
        <v>1.0984208653332252</v>
      </c>
      <c r="F57" s="5">
        <f t="shared" ref="F57:G57" si="87">F19</f>
        <v>62.0953075805023</v>
      </c>
      <c r="G57" s="5">
        <f t="shared" si="87"/>
        <v>0.76970395255276502</v>
      </c>
      <c r="H57" s="3">
        <f t="shared" si="5"/>
        <v>1</v>
      </c>
      <c r="I57" s="5">
        <f t="shared" ref="I57:J57" si="88">I19</f>
        <v>58.599766851900199</v>
      </c>
      <c r="J57" s="5">
        <f t="shared" si="88"/>
        <v>0.69397076772195199</v>
      </c>
      <c r="K57" s="3">
        <f t="shared" si="7"/>
        <v>1.0235012741918144</v>
      </c>
      <c r="L57" s="5">
        <f t="shared" ref="L57:M57" si="89">L19</f>
        <v>61.089629719220099</v>
      </c>
      <c r="M57" s="5">
        <f t="shared" si="89"/>
        <v>0.75159907298050399</v>
      </c>
      <c r="N57" s="3">
        <f t="shared" si="9"/>
        <v>1.1500433366186062</v>
      </c>
      <c r="O57" s="5">
        <f t="shared" ref="O57:P57" si="90">O19</f>
        <v>63.406646780250398</v>
      </c>
      <c r="P57" s="5">
        <f t="shared" si="90"/>
        <v>0.71123271248638398</v>
      </c>
    </row>
    <row r="58" spans="1:16" x14ac:dyDescent="0.2">
      <c r="A58">
        <v>749</v>
      </c>
      <c r="B58" s="3">
        <f t="shared" si="1"/>
        <v>3.7396036720609529</v>
      </c>
      <c r="C58" s="5">
        <f t="shared" ref="C58:D58" si="91">C20</f>
        <v>137.03283071517899</v>
      </c>
      <c r="D58" s="5">
        <f t="shared" si="91"/>
        <v>2.5222936616131602</v>
      </c>
      <c r="E58" s="3">
        <f t="shared" si="3"/>
        <v>1</v>
      </c>
      <c r="F58" s="5">
        <f t="shared" ref="F58:G58" si="92">F20</f>
        <v>104.79200705662301</v>
      </c>
      <c r="G58" s="5">
        <f t="shared" si="92"/>
        <v>0.67526558216079302</v>
      </c>
      <c r="H58" s="3">
        <f t="shared" si="5"/>
        <v>1.1501651720452923</v>
      </c>
      <c r="I58" s="5">
        <f t="shared" ref="I58:J58" si="93">I20</f>
        <v>124.446850998347</v>
      </c>
      <c r="J58" s="5">
        <f t="shared" si="93"/>
        <v>0.86892432218412896</v>
      </c>
      <c r="K58" s="3">
        <f t="shared" si="7"/>
        <v>1.0465608686825358</v>
      </c>
      <c r="L58" s="5">
        <f t="shared" ref="L58:M58" si="94">L20</f>
        <v>119.387313930191</v>
      </c>
      <c r="M58" s="5">
        <f t="shared" si="94"/>
        <v>0.857189057115058</v>
      </c>
      <c r="N58" s="3">
        <f t="shared" si="9"/>
        <v>2.0328679261395184</v>
      </c>
      <c r="O58" s="5">
        <f t="shared" ref="O58:P58" si="95">O20</f>
        <v>125.52956680238999</v>
      </c>
      <c r="P58" s="5">
        <f t="shared" si="95"/>
        <v>1.4334004477284199</v>
      </c>
    </row>
    <row r="59" spans="1:16" x14ac:dyDescent="0.2">
      <c r="A59">
        <v>777</v>
      </c>
      <c r="B59" s="3">
        <f t="shared" si="1"/>
        <v>1.5821710187462315</v>
      </c>
      <c r="C59" s="5">
        <f t="shared" ref="C59:D59" si="96">C21</f>
        <v>161.98723316192601</v>
      </c>
      <c r="D59" s="5">
        <f t="shared" si="96"/>
        <v>1.0953069692441499</v>
      </c>
      <c r="E59" s="3">
        <f t="shared" si="3"/>
        <v>1.0149524628332089</v>
      </c>
      <c r="F59" s="5">
        <f t="shared" ref="F59:G59" si="97">F21</f>
        <v>148.45549180987899</v>
      </c>
      <c r="G59" s="5">
        <f t="shared" si="97"/>
        <v>0.83128728193778301</v>
      </c>
      <c r="H59" s="3">
        <f t="shared" si="5"/>
        <v>1.1364638152947584</v>
      </c>
      <c r="I59" s="5">
        <f t="shared" ref="I59:J59" si="98">I21</f>
        <v>156.773910613233</v>
      </c>
      <c r="J59" s="5">
        <f t="shared" si="98"/>
        <v>1.0303664226884901</v>
      </c>
      <c r="K59" s="3">
        <f t="shared" si="7"/>
        <v>1</v>
      </c>
      <c r="L59" s="5">
        <f t="shared" ref="L59:M59" si="99">L21</f>
        <v>150.66515016383801</v>
      </c>
      <c r="M59" s="5">
        <f t="shared" si="99"/>
        <v>0.74959376578110704</v>
      </c>
      <c r="N59" s="3">
        <f t="shared" si="9"/>
        <v>1.035967623635708</v>
      </c>
      <c r="O59" s="5">
        <f t="shared" ref="O59:P59" si="100">O21</f>
        <v>146.775541370067</v>
      </c>
      <c r="P59" s="5">
        <f t="shared" si="100"/>
        <v>0.51164758063762905</v>
      </c>
    </row>
    <row r="60" spans="1:16" x14ac:dyDescent="0.2">
      <c r="A60">
        <v>782</v>
      </c>
      <c r="B60" s="3">
        <f t="shared" si="1"/>
        <v>1.1209546775048771</v>
      </c>
      <c r="C60" s="5">
        <f t="shared" ref="C60:D60" si="101">C22</f>
        <v>131.22506141662501</v>
      </c>
      <c r="D60" s="5">
        <f t="shared" si="101"/>
        <v>0.84762082611776002</v>
      </c>
      <c r="E60" s="3">
        <f t="shared" si="3"/>
        <v>1.0312449191838837</v>
      </c>
      <c r="F60" s="5">
        <f t="shared" ref="F60:G60" si="102">F22</f>
        <v>117.390931991899</v>
      </c>
      <c r="G60" s="5">
        <f t="shared" si="102"/>
        <v>0.705667132586836</v>
      </c>
      <c r="H60" s="3">
        <f t="shared" si="5"/>
        <v>1.0901407283906308</v>
      </c>
      <c r="I60" s="5">
        <f t="shared" ref="I60:J60" si="103">I22</f>
        <v>116.639015045747</v>
      </c>
      <c r="J60" s="5">
        <f t="shared" si="103"/>
        <v>0.73536861309220203</v>
      </c>
      <c r="K60" s="3">
        <f t="shared" si="7"/>
        <v>1</v>
      </c>
      <c r="L60" s="5">
        <f t="shared" ref="L60:M60" si="104">L22</f>
        <v>120.346131483514</v>
      </c>
      <c r="M60" s="5">
        <f t="shared" si="104"/>
        <v>0.74215132335874201</v>
      </c>
      <c r="N60" s="3">
        <f t="shared" si="9"/>
        <v>1.0451203625147609</v>
      </c>
      <c r="O60" s="5">
        <f t="shared" ref="O60:P60" si="105">O22</f>
        <v>130.56537117627701</v>
      </c>
      <c r="P60" s="5">
        <f t="shared" si="105"/>
        <v>0.76523771097941995</v>
      </c>
    </row>
    <row r="61" spans="1:16" x14ac:dyDescent="0.2">
      <c r="A61">
        <v>792</v>
      </c>
      <c r="B61" s="3">
        <f t="shared" si="1"/>
        <v>1.2145716479622113</v>
      </c>
      <c r="C61" s="5">
        <f t="shared" ref="C61:D61" si="106">C23</f>
        <v>99.036175012588501</v>
      </c>
      <c r="D61" s="5">
        <f t="shared" si="106"/>
        <v>0.91996829186387896</v>
      </c>
      <c r="E61" s="3">
        <f t="shared" si="3"/>
        <v>1.0793597235527757</v>
      </c>
      <c r="F61" s="5">
        <f t="shared" ref="F61:G61" si="107">F23</f>
        <v>95.898137138436098</v>
      </c>
      <c r="G61" s="5">
        <f t="shared" si="107"/>
        <v>0.84458714262376</v>
      </c>
      <c r="H61" s="3">
        <f t="shared" si="5"/>
        <v>1.0868615861337725</v>
      </c>
      <c r="I61" s="5">
        <f t="shared" ref="I61:J61" si="108">I23</f>
        <v>98.142904430594697</v>
      </c>
      <c r="J61" s="5">
        <f t="shared" si="108"/>
        <v>0.81863381248150302</v>
      </c>
      <c r="K61" s="3">
        <f t="shared" si="7"/>
        <v>1</v>
      </c>
      <c r="L61" s="5">
        <f t="shared" ref="L61:M61" si="109">L23</f>
        <v>93.270197885196197</v>
      </c>
      <c r="M61" s="5">
        <f t="shared" si="109"/>
        <v>0.768715132381526</v>
      </c>
      <c r="N61" s="3">
        <f t="shared" si="9"/>
        <v>1.1496078428602123</v>
      </c>
      <c r="O61" s="5">
        <f t="shared" ref="O61:P61" si="110">O23</f>
        <v>100.058209510681</v>
      </c>
      <c r="P61" s="5">
        <f t="shared" si="110"/>
        <v>0.81646737246440404</v>
      </c>
    </row>
    <row r="62" spans="1:16" x14ac:dyDescent="0.2">
      <c r="A62">
        <v>804</v>
      </c>
      <c r="B62" s="3">
        <f t="shared" si="1"/>
        <v>1.1844436778340666</v>
      </c>
      <c r="C62" s="5">
        <f t="shared" ref="C62:D62" si="111">C24</f>
        <v>153.14292907714801</v>
      </c>
      <c r="D62" s="5">
        <f t="shared" si="111"/>
        <v>0.69337406186778905</v>
      </c>
      <c r="E62" s="3">
        <f t="shared" si="3"/>
        <v>1.1763747513820475</v>
      </c>
      <c r="F62" s="5">
        <f t="shared" ref="F62:G62" si="112">F24</f>
        <v>121.618919795236</v>
      </c>
      <c r="G62" s="5">
        <f t="shared" si="112"/>
        <v>0.80897774369873499</v>
      </c>
      <c r="H62" s="3">
        <f t="shared" si="5"/>
        <v>1</v>
      </c>
      <c r="I62" s="5">
        <f t="shared" ref="I62:J62" si="113">I24</f>
        <v>134.861612674903</v>
      </c>
      <c r="J62" s="5">
        <f t="shared" si="113"/>
        <v>0.72438282371418605</v>
      </c>
      <c r="K62" s="3">
        <f t="shared" si="7"/>
        <v>1.2865364451551731</v>
      </c>
      <c r="L62" s="5">
        <f t="shared" ref="L62:M62" si="114">L24</f>
        <v>140.01583858550299</v>
      </c>
      <c r="M62" s="5">
        <f t="shared" si="114"/>
        <v>0.98599639292083896</v>
      </c>
      <c r="N62" s="3">
        <f t="shared" si="9"/>
        <v>1.1183493882973836</v>
      </c>
      <c r="O62" s="5">
        <f t="shared" ref="O62:P62" si="115">O24</f>
        <v>134.81227658244001</v>
      </c>
      <c r="P62" s="5">
        <f t="shared" si="115"/>
        <v>0.77815755797185204</v>
      </c>
    </row>
    <row r="63" spans="1:16" x14ac:dyDescent="0.2">
      <c r="A63">
        <v>812</v>
      </c>
      <c r="B63" s="3">
        <f t="shared" si="1"/>
        <v>1.2181300656285368</v>
      </c>
      <c r="C63" s="5">
        <f t="shared" ref="C63:D63" si="116">C25</f>
        <v>103.806698322296</v>
      </c>
      <c r="D63" s="5">
        <f t="shared" si="116"/>
        <v>2.54994946615468</v>
      </c>
      <c r="E63" s="3">
        <f t="shared" si="3"/>
        <v>1.0021547784101423</v>
      </c>
      <c r="F63" s="5">
        <f t="shared" ref="F63:G63" si="117">F25</f>
        <v>87.441142348662893</v>
      </c>
      <c r="G63" s="5">
        <f t="shared" si="117"/>
        <v>1.9372161433797701</v>
      </c>
      <c r="H63" s="3">
        <f t="shared" si="5"/>
        <v>1.0486800482426559</v>
      </c>
      <c r="I63" s="5">
        <f t="shared" ref="I63:J63" si="118">I25</f>
        <v>95.406881460887206</v>
      </c>
      <c r="J63" s="5">
        <f t="shared" si="118"/>
        <v>2.1684078061803498</v>
      </c>
      <c r="K63" s="3">
        <f t="shared" si="7"/>
        <v>1.0087738205033747</v>
      </c>
      <c r="L63" s="5">
        <f t="shared" ref="L63:M63" si="119">L25</f>
        <v>94.993429572551904</v>
      </c>
      <c r="M63" s="5">
        <f t="shared" si="119"/>
        <v>2.3479268930945301</v>
      </c>
      <c r="N63" s="3">
        <f t="shared" si="9"/>
        <v>1</v>
      </c>
      <c r="O63" s="5">
        <f t="shared" ref="O63:P63" si="120">O25</f>
        <v>91.261687381881899</v>
      </c>
      <c r="P63" s="5">
        <f t="shared" si="120"/>
        <v>2.0288927531614198</v>
      </c>
    </row>
    <row r="64" spans="1:16" x14ac:dyDescent="0.2">
      <c r="A64">
        <v>816</v>
      </c>
      <c r="B64" s="3">
        <f t="shared" si="1"/>
        <v>1.309611990345396</v>
      </c>
      <c r="C64" s="5">
        <f t="shared" ref="C64:D64" si="121">C26</f>
        <v>164.77916240692099</v>
      </c>
      <c r="D64" s="5">
        <f t="shared" si="121"/>
        <v>0.27800619412502803</v>
      </c>
      <c r="E64" s="3">
        <f t="shared" si="3"/>
        <v>1.8767253114772493</v>
      </c>
      <c r="F64" s="5">
        <f t="shared" ref="F64:G64" si="122">F26</f>
        <v>163.98991841072501</v>
      </c>
      <c r="G64" s="5">
        <f t="shared" si="122"/>
        <v>0.36798252511766899</v>
      </c>
      <c r="H64" s="3">
        <f t="shared" si="5"/>
        <v>2.9696712353894816</v>
      </c>
      <c r="I64" s="5">
        <f t="shared" ref="I64:J64" si="123">I26</f>
        <v>185.046530792959</v>
      </c>
      <c r="J64" s="5">
        <f t="shared" si="123"/>
        <v>0.61943131402477802</v>
      </c>
      <c r="K64" s="3">
        <f t="shared" si="7"/>
        <v>1.3709317318129162</v>
      </c>
      <c r="L64" s="5">
        <f t="shared" ref="L64:M64" si="124">L26</f>
        <v>176.477333405596</v>
      </c>
      <c r="M64" s="5">
        <f t="shared" si="124"/>
        <v>0.28991765471879499</v>
      </c>
      <c r="N64" s="3">
        <f t="shared" si="9"/>
        <v>1</v>
      </c>
      <c r="O64" s="5">
        <f t="shared" ref="O64:P64" si="125">O26</f>
        <v>168.488138301058</v>
      </c>
      <c r="P64" s="5">
        <f t="shared" si="125"/>
        <v>0.23683748430802101</v>
      </c>
    </row>
    <row r="65" spans="1:16" x14ac:dyDescent="0.2">
      <c r="A65">
        <v>822</v>
      </c>
      <c r="B65" s="3">
        <f t="shared" si="1"/>
        <v>1.1657014058290465</v>
      </c>
      <c r="C65" s="5">
        <f t="shared" ref="C65:D65" si="126">C27</f>
        <v>139.489579200744</v>
      </c>
      <c r="D65" s="5">
        <f t="shared" si="126"/>
        <v>0.85483730118235501</v>
      </c>
      <c r="E65" s="3">
        <f t="shared" si="3"/>
        <v>1.181274386990951</v>
      </c>
      <c r="F65" s="5">
        <f t="shared" ref="F65:G65" si="127">F27</f>
        <v>117.853039235164</v>
      </c>
      <c r="G65" s="5">
        <f t="shared" si="127"/>
        <v>0.73394217883056201</v>
      </c>
      <c r="H65" s="3">
        <f t="shared" si="5"/>
        <v>1</v>
      </c>
      <c r="I65" s="5">
        <f t="shared" ref="I65:J65" si="128">I27</f>
        <v>110.07439812936001</v>
      </c>
      <c r="J65" s="5">
        <f t="shared" si="128"/>
        <v>0.62413051759890203</v>
      </c>
      <c r="K65" s="3">
        <f t="shared" si="7"/>
        <v>1.1493946702374935</v>
      </c>
      <c r="L65" s="5">
        <f t="shared" ref="L65:M65" si="129">L27</f>
        <v>119.333195085798</v>
      </c>
      <c r="M65" s="5">
        <f t="shared" si="129"/>
        <v>0.85417024330708302</v>
      </c>
      <c r="N65" s="3">
        <f t="shared" si="9"/>
        <v>1.0014785059957165</v>
      </c>
      <c r="O65" s="5">
        <f t="shared" ref="O65:P65" si="130">O27</f>
        <v>122.036100896433</v>
      </c>
      <c r="P65" s="5">
        <f t="shared" si="130"/>
        <v>0.64860417013370997</v>
      </c>
    </row>
    <row r="66" spans="1:16" x14ac:dyDescent="0.2">
      <c r="A66">
        <v>827</v>
      </c>
      <c r="B66" s="3">
        <f t="shared" si="1"/>
        <v>1.0071134802453368</v>
      </c>
      <c r="C66" s="5">
        <f t="shared" ref="C66:D66" si="131">C28</f>
        <v>109.412109851837</v>
      </c>
      <c r="D66" s="5">
        <f t="shared" si="131"/>
        <v>1.08318600614361</v>
      </c>
      <c r="E66" s="3">
        <f t="shared" si="3"/>
        <v>1.1200998660282433</v>
      </c>
      <c r="F66" s="5">
        <f t="shared" ref="F66:G66" si="132">F28</f>
        <v>103.70931982881601</v>
      </c>
      <c r="G66" s="5">
        <f t="shared" si="132"/>
        <v>1.34332111269333</v>
      </c>
      <c r="H66" s="3">
        <f t="shared" si="5"/>
        <v>1</v>
      </c>
      <c r="I66" s="5">
        <f t="shared" ref="I66:J66" si="133">I28</f>
        <v>100.39369949427</v>
      </c>
      <c r="J66" s="5">
        <f t="shared" si="133"/>
        <v>1.1444634156262301</v>
      </c>
      <c r="K66" s="3">
        <f t="shared" si="7"/>
        <v>1.1849352835540554</v>
      </c>
      <c r="L66" s="5">
        <f t="shared" ref="L66:M66" si="134">L28</f>
        <v>126.561191303676</v>
      </c>
      <c r="M66" s="5">
        <f t="shared" si="134"/>
        <v>1.3964742667460801</v>
      </c>
      <c r="N66" s="3">
        <f t="shared" si="9"/>
        <v>1.0356272300399842</v>
      </c>
      <c r="O66" s="5">
        <f t="shared" ref="O66:P66" si="135">O28</f>
        <v>111.89213388811601</v>
      </c>
      <c r="P66" s="5">
        <f t="shared" si="135"/>
        <v>1.11615212269752</v>
      </c>
    </row>
    <row r="67" spans="1:16" x14ac:dyDescent="0.2">
      <c r="A67">
        <v>838</v>
      </c>
      <c r="B67" s="3">
        <f t="shared" si="1"/>
        <v>1.7644812676357917</v>
      </c>
      <c r="C67" s="5">
        <f t="shared" ref="C67:D67" si="136">C29</f>
        <v>153.76707315444901</v>
      </c>
      <c r="D67" s="5">
        <f t="shared" si="136"/>
        <v>1.13035565921217</v>
      </c>
      <c r="E67" s="3">
        <f t="shared" si="3"/>
        <v>1.358723568846709</v>
      </c>
      <c r="F67" s="5">
        <f t="shared" ref="F67:G67" si="137">F29</f>
        <v>96.573023574976304</v>
      </c>
      <c r="G67" s="5">
        <f t="shared" si="137"/>
        <v>1.0686986186384599</v>
      </c>
      <c r="H67" s="3">
        <f t="shared" si="5"/>
        <v>1.2016493346190902</v>
      </c>
      <c r="I67" s="5">
        <f t="shared" ref="I67:J67" si="138">I29</f>
        <v>87.796470808189497</v>
      </c>
      <c r="J67" s="5">
        <f t="shared" si="138"/>
        <v>0.90708445191853704</v>
      </c>
      <c r="K67" s="3">
        <f t="shared" si="7"/>
        <v>1.1638138795987003</v>
      </c>
      <c r="L67" s="5">
        <f t="shared" ref="L67:M67" si="139">L29</f>
        <v>81.556699544267602</v>
      </c>
      <c r="M67" s="5">
        <f t="shared" si="139"/>
        <v>0.82256468654593895</v>
      </c>
      <c r="N67" s="3">
        <f t="shared" si="9"/>
        <v>1</v>
      </c>
      <c r="O67" s="5">
        <f t="shared" ref="O67:P67" si="140">O29</f>
        <v>82.973702854647797</v>
      </c>
      <c r="P67" s="5">
        <f t="shared" si="140"/>
        <v>0.74287030813594002</v>
      </c>
    </row>
    <row r="68" spans="1:16" x14ac:dyDescent="0.2">
      <c r="A68">
        <v>876</v>
      </c>
      <c r="B68" s="3">
        <f t="shared" si="1"/>
        <v>1.0157430632121811</v>
      </c>
      <c r="C68" s="5">
        <f t="shared" ref="C68:D68" si="141">C30</f>
        <v>200</v>
      </c>
      <c r="D68" s="5">
        <f t="shared" si="141"/>
        <v>0.163335965346561</v>
      </c>
      <c r="E68" s="3">
        <f t="shared" si="3"/>
        <v>2.3296779858144552</v>
      </c>
      <c r="F68" s="5">
        <f t="shared" ref="F68:G68" si="142">F30</f>
        <v>200</v>
      </c>
      <c r="G68" s="5">
        <f t="shared" si="142"/>
        <v>0.37462249153620603</v>
      </c>
      <c r="H68" s="3">
        <f t="shared" si="5"/>
        <v>4.4464416340690445</v>
      </c>
      <c r="I68" s="5">
        <f t="shared" ref="I68:J68" si="143">I30</f>
        <v>200</v>
      </c>
      <c r="J68" s="5">
        <f t="shared" si="143"/>
        <v>0.71500741886562502</v>
      </c>
      <c r="K68" s="3">
        <f t="shared" si="7"/>
        <v>5.0040771564660824</v>
      </c>
      <c r="L68" s="5">
        <f t="shared" ref="L68:M68" si="144">L30</f>
        <v>200</v>
      </c>
      <c r="M68" s="5">
        <f t="shared" si="144"/>
        <v>0.80467766945025399</v>
      </c>
      <c r="N68" s="3">
        <f t="shared" si="9"/>
        <v>1</v>
      </c>
      <c r="O68" s="5">
        <f t="shared" ref="O68:P68" si="145">O30</f>
        <v>200</v>
      </c>
      <c r="P68" s="5">
        <f t="shared" si="145"/>
        <v>0.16080440894291101</v>
      </c>
    </row>
    <row r="69" spans="1:16" x14ac:dyDescent="0.2">
      <c r="A69">
        <v>877</v>
      </c>
      <c r="B69" s="3">
        <f t="shared" si="1"/>
        <v>1.047417791766984</v>
      </c>
      <c r="C69" s="5">
        <f t="shared" ref="C69:D69" si="146">C31</f>
        <v>187.03837394714299</v>
      </c>
      <c r="D69" s="5">
        <f t="shared" si="146"/>
        <v>0.59970672092836097</v>
      </c>
      <c r="E69" s="3">
        <f t="shared" si="3"/>
        <v>1</v>
      </c>
      <c r="F69" s="5">
        <f t="shared" ref="F69:G69" si="147">F31</f>
        <v>166.113674015681</v>
      </c>
      <c r="G69" s="5">
        <f t="shared" si="147"/>
        <v>0.497582408090738</v>
      </c>
      <c r="H69" s="3">
        <f t="shared" si="5"/>
        <v>1.053706878460817</v>
      </c>
      <c r="I69" s="5">
        <f t="shared" ref="I69:J69" si="148">I31</f>
        <v>173.01118194448699</v>
      </c>
      <c r="J69" s="5">
        <f t="shared" si="148"/>
        <v>0.64132917757570695</v>
      </c>
      <c r="K69" s="3">
        <f t="shared" si="7"/>
        <v>1.1372477649375325</v>
      </c>
      <c r="L69" s="5">
        <f t="shared" ref="L69:M69" si="149">L31</f>
        <v>171.56704372455999</v>
      </c>
      <c r="M69" s="5">
        <f t="shared" si="149"/>
        <v>0.80195486497517698</v>
      </c>
      <c r="N69" s="3">
        <f t="shared" si="9"/>
        <v>1.0237793275694926</v>
      </c>
      <c r="O69" s="5">
        <f t="shared" ref="O69:P69" si="150">O31</f>
        <v>171.28277584828899</v>
      </c>
      <c r="P69" s="5">
        <f t="shared" si="150"/>
        <v>0.52585658817418102</v>
      </c>
    </row>
    <row r="70" spans="1:16" x14ac:dyDescent="0.2">
      <c r="A70">
        <v>888</v>
      </c>
      <c r="B70" s="3">
        <f t="shared" si="1"/>
        <v>1.0733555822063863</v>
      </c>
      <c r="C70" s="5">
        <f t="shared" ref="C70:D70" si="151">C32</f>
        <v>99.171459674835205</v>
      </c>
      <c r="D70" s="5">
        <f t="shared" si="151"/>
        <v>0.53598828807949495</v>
      </c>
      <c r="E70" s="3">
        <f t="shared" si="3"/>
        <v>1.1227448732178842</v>
      </c>
      <c r="F70" s="5">
        <f t="shared" ref="F70:G70" si="152">F32</f>
        <v>96.403316844402696</v>
      </c>
      <c r="G70" s="5">
        <f t="shared" si="152"/>
        <v>0.54947203951392798</v>
      </c>
      <c r="H70" s="3">
        <f t="shared" si="5"/>
        <v>1</v>
      </c>
      <c r="I70" s="5">
        <f t="shared" ref="I70:J70" si="153">I32</f>
        <v>87.674727929525503</v>
      </c>
      <c r="J70" s="5">
        <f t="shared" si="153"/>
        <v>0.49313260185063801</v>
      </c>
      <c r="K70" s="3">
        <f t="shared" si="7"/>
        <v>1.0918452026167695</v>
      </c>
      <c r="L70" s="5">
        <f t="shared" ref="L70:M70" si="154">L32</f>
        <v>88.616605704294003</v>
      </c>
      <c r="M70" s="5">
        <f t="shared" si="154"/>
        <v>0.537018661273864</v>
      </c>
      <c r="N70" s="3">
        <f t="shared" si="9"/>
        <v>1.2218331533286717</v>
      </c>
      <c r="O70" s="5">
        <f t="shared" ref="O70:P70" si="155">O32</f>
        <v>114.258252786017</v>
      </c>
      <c r="P70" s="5">
        <f t="shared" si="155"/>
        <v>0.50667583055020704</v>
      </c>
    </row>
    <row r="71" spans="1:16" x14ac:dyDescent="0.2">
      <c r="A71">
        <v>890</v>
      </c>
      <c r="B71" s="3">
        <f t="shared" si="1"/>
        <v>1.2606573519805093</v>
      </c>
      <c r="C71" s="5">
        <f t="shared" ref="C71:D71" si="156">C33</f>
        <v>71.160727739334106</v>
      </c>
      <c r="D71" s="5">
        <f t="shared" si="156"/>
        <v>0.64202963203672803</v>
      </c>
      <c r="E71" s="3">
        <f t="shared" si="3"/>
        <v>1.1279158863365779</v>
      </c>
      <c r="F71" s="5">
        <f t="shared" ref="F71:G71" si="157">F33</f>
        <v>62.753118508957797</v>
      </c>
      <c r="G71" s="5">
        <f t="shared" si="157"/>
        <v>0.48869321768125001</v>
      </c>
      <c r="H71" s="3">
        <f t="shared" si="5"/>
        <v>1</v>
      </c>
      <c r="I71" s="5">
        <f t="shared" ref="I71:J71" si="158">I33</f>
        <v>54.933040419494098</v>
      </c>
      <c r="J71" s="5">
        <f t="shared" si="158"/>
        <v>0.50366683016382596</v>
      </c>
      <c r="K71" s="3">
        <f t="shared" si="7"/>
        <v>1.2989862765900331</v>
      </c>
      <c r="L71" s="5">
        <f t="shared" ref="L71:M71" si="159">L33</f>
        <v>60.851949404662903</v>
      </c>
      <c r="M71" s="5">
        <f t="shared" si="159"/>
        <v>0.57378124540686004</v>
      </c>
      <c r="N71" s="3">
        <f t="shared" si="9"/>
        <v>1.5779286630396612</v>
      </c>
      <c r="O71" s="5">
        <f t="shared" ref="O71:P71" si="160">O33</f>
        <v>100.11789873580599</v>
      </c>
      <c r="P71" s="5">
        <f t="shared" si="160"/>
        <v>0.70112071203970505</v>
      </c>
    </row>
    <row r="72" spans="1:16" ht="68" x14ac:dyDescent="0.2">
      <c r="A72" s="2" t="s">
        <v>81</v>
      </c>
      <c r="B72" s="3">
        <f>AVERAGE(B40:B71)</f>
        <v>1.5851555291276995</v>
      </c>
      <c r="C72" s="3">
        <f t="shared" ref="C72" si="161">AVERAGE(C40:C71)</f>
        <v>136.66801750659909</v>
      </c>
      <c r="D72" s="3">
        <f t="shared" ref="D72" si="162">AVERAGE(D40:D71)</f>
        <v>0.92675829771820972</v>
      </c>
      <c r="E72" s="3">
        <f t="shared" ref="E72" si="163">AVERAGE(E40:E71)</f>
        <v>1.1521147650530326</v>
      </c>
      <c r="F72" s="3">
        <f t="shared" ref="F72" si="164">AVERAGE(F40:F71)</f>
        <v>122.5762731622614</v>
      </c>
      <c r="G72" s="3">
        <f t="shared" ref="G72" si="165">AVERAGE(G40:G71)</f>
        <v>0.73957392432502678</v>
      </c>
      <c r="H72" s="3">
        <f t="shared" ref="H72" si="166">AVERAGE(H40:H71)</f>
        <v>1.3041375505460979</v>
      </c>
      <c r="I72" s="3">
        <f t="shared" ref="I72" si="167">AVERAGE(I40:I71)</f>
        <v>123.34548841204447</v>
      </c>
      <c r="J72" s="3">
        <f t="shared" ref="J72" si="168">AVERAGE(J40:J71)</f>
        <v>0.76644266800160521</v>
      </c>
      <c r="K72" s="3">
        <f t="shared" ref="K72" si="169">AVERAGE(K40:K71)</f>
        <v>1.3156353616202092</v>
      </c>
      <c r="L72" s="3">
        <f t="shared" ref="L72" si="170">AVERAGE(L40:L71)</f>
        <v>126.16924789666169</v>
      </c>
      <c r="M72" s="3">
        <f t="shared" ref="M72" si="171">AVERAGE(M40:M71)</f>
        <v>0.84965084634511601</v>
      </c>
      <c r="N72" s="3">
        <f t="shared" ref="N72" si="172">AVERAGE(N40:N71)</f>
        <v>1.1517086538216539</v>
      </c>
      <c r="O72" s="3">
        <f t="shared" ref="O72" si="173">AVERAGE(O40:O71)</f>
        <v>127.39921948143585</v>
      </c>
      <c r="P72" s="3">
        <f t="shared" ref="P72" si="174">AVERAGE(P40:P71)</f>
        <v>0.70278552214979106</v>
      </c>
    </row>
  </sheetData>
  <pageMargins left="0.75" right="0.75" top="1" bottom="1" header="0.5" footer="0.5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DB5D-587D-6C45-B5E0-AB494CFB925C}">
  <dimension ref="A1:R70"/>
  <sheetViews>
    <sheetView workbookViewId="0">
      <selection activeCell="R13" sqref="R13"/>
    </sheetView>
  </sheetViews>
  <sheetFormatPr baseColWidth="10" defaultRowHeight="16" x14ac:dyDescent="0.2"/>
  <cols>
    <col min="1" max="1" width="14.6640625" customWidth="1"/>
    <col min="2" max="2" width="12.1640625" style="3" bestFit="1" customWidth="1"/>
    <col min="3" max="4" width="12.1640625" bestFit="1" customWidth="1"/>
    <col min="5" max="5" width="12.1640625" style="3" bestFit="1" customWidth="1"/>
    <col min="6" max="7" width="12.1640625" bestFit="1" customWidth="1"/>
    <col min="8" max="8" width="12.1640625" style="3" bestFit="1" customWidth="1"/>
    <col min="9" max="10" width="12.1640625" bestFit="1" customWidth="1"/>
    <col min="11" max="11" width="12.1640625" style="3" bestFit="1" customWidth="1"/>
    <col min="12" max="12" width="13.83203125" customWidth="1"/>
    <col min="13" max="13" width="12.1640625" bestFit="1" customWidth="1"/>
    <col min="14" max="14" width="12.1640625" style="3" bestFit="1" customWidth="1"/>
    <col min="15" max="16" width="12.1640625" bestFit="1" customWidth="1"/>
    <col min="18" max="18" width="41.33203125" customWidth="1"/>
  </cols>
  <sheetData>
    <row r="1" spans="1:18" s="1" customFormat="1" ht="50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R1" s="1" t="s">
        <v>152</v>
      </c>
    </row>
    <row r="2" spans="1:18" x14ac:dyDescent="0.2">
      <c r="A2">
        <v>47</v>
      </c>
      <c r="B2" s="3">
        <v>7441.8347200136004</v>
      </c>
      <c r="C2">
        <v>131.069767475128</v>
      </c>
      <c r="D2">
        <v>0.63687892018840297</v>
      </c>
      <c r="E2" s="3">
        <v>6393.2710294306698</v>
      </c>
      <c r="F2">
        <v>124.46870657701101</v>
      </c>
      <c r="G2">
        <v>0.59550928053681895</v>
      </c>
      <c r="H2" s="3">
        <v>6487.2112150716703</v>
      </c>
      <c r="I2">
        <v>133.85062945097499</v>
      </c>
      <c r="J2">
        <v>0.66725725652208601</v>
      </c>
      <c r="K2" s="3">
        <v>6779.8979834210104</v>
      </c>
      <c r="L2">
        <v>126.245734389259</v>
      </c>
      <c r="M2">
        <v>0.62625614196540802</v>
      </c>
      <c r="N2" s="3">
        <v>6535.0046940255697</v>
      </c>
      <c r="O2">
        <v>123.408067578966</v>
      </c>
      <c r="P2">
        <v>0.59045635397165996</v>
      </c>
      <c r="R2" s="4" t="s">
        <v>17</v>
      </c>
    </row>
    <row r="3" spans="1:18" x14ac:dyDescent="0.2">
      <c r="A3">
        <v>65</v>
      </c>
      <c r="B3" s="3">
        <v>2519.2225983425901</v>
      </c>
      <c r="C3">
        <v>192.57034063339199</v>
      </c>
      <c r="D3">
        <v>1.55409335660903</v>
      </c>
      <c r="E3" s="3">
        <v>1327.08243076128</v>
      </c>
      <c r="F3">
        <v>179.19803551747</v>
      </c>
      <c r="G3">
        <v>0.99346582017927998</v>
      </c>
      <c r="H3" s="3">
        <v>1241.54103979094</v>
      </c>
      <c r="I3">
        <v>170.83874721529301</v>
      </c>
      <c r="J3">
        <v>0.93436426654219096</v>
      </c>
      <c r="K3" s="3">
        <v>1265.4547999896099</v>
      </c>
      <c r="L3">
        <v>171.73022163603801</v>
      </c>
      <c r="M3">
        <v>1.0557673192484101</v>
      </c>
      <c r="N3" s="3">
        <v>1275.5024710119201</v>
      </c>
      <c r="O3">
        <v>176.42631120188</v>
      </c>
      <c r="P3">
        <v>0.83189709013802304</v>
      </c>
      <c r="R3" s="4" t="s">
        <v>18</v>
      </c>
    </row>
    <row r="4" spans="1:18" x14ac:dyDescent="0.2">
      <c r="A4">
        <v>98</v>
      </c>
      <c r="B4" s="3">
        <v>2744.7735790042798</v>
      </c>
      <c r="C4">
        <v>194.822514057159</v>
      </c>
      <c r="D4">
        <v>0.68471567525205601</v>
      </c>
      <c r="E4" s="3">
        <v>1021.71897907121</v>
      </c>
      <c r="F4">
        <v>198.655282308875</v>
      </c>
      <c r="G4">
        <v>0.34840919764515299</v>
      </c>
      <c r="H4" s="3">
        <v>2142.0776217713301</v>
      </c>
      <c r="I4">
        <v>194.260563949595</v>
      </c>
      <c r="J4">
        <v>0.85743343271314598</v>
      </c>
      <c r="K4" s="3">
        <v>4128.8438368676298</v>
      </c>
      <c r="L4">
        <v>196.20623688573701</v>
      </c>
      <c r="M4">
        <v>1.66283346524625</v>
      </c>
      <c r="N4" s="3">
        <v>1560.9611571676601</v>
      </c>
      <c r="O4">
        <v>194.42370170177699</v>
      </c>
      <c r="P4">
        <v>0.61249005454094196</v>
      </c>
      <c r="R4" s="4" t="s">
        <v>19</v>
      </c>
    </row>
    <row r="5" spans="1:18" x14ac:dyDescent="0.2">
      <c r="A5">
        <v>114</v>
      </c>
      <c r="B5" s="3">
        <v>56439.675123090397</v>
      </c>
      <c r="C5">
        <v>63.390302658080998</v>
      </c>
      <c r="D5">
        <v>0.82099306256734905</v>
      </c>
      <c r="E5" s="3">
        <v>51838.676431848799</v>
      </c>
      <c r="F5">
        <v>52.295170773032503</v>
      </c>
      <c r="G5">
        <v>0.6589834757659</v>
      </c>
      <c r="H5" s="3">
        <v>42876.900412286901</v>
      </c>
      <c r="I5">
        <v>43.693015987518798</v>
      </c>
      <c r="J5">
        <v>0.55694684478931</v>
      </c>
      <c r="K5" s="3">
        <v>41361.491700062303</v>
      </c>
      <c r="L5">
        <v>48.541843373504598</v>
      </c>
      <c r="M5">
        <v>0.58912770375260304</v>
      </c>
      <c r="N5" s="3">
        <v>43312.3201954088</v>
      </c>
      <c r="O5">
        <v>44.629818355129203</v>
      </c>
      <c r="P5">
        <v>0.55321427024329295</v>
      </c>
      <c r="R5" s="4" t="s">
        <v>23</v>
      </c>
    </row>
    <row r="6" spans="1:18" x14ac:dyDescent="0.2">
      <c r="A6">
        <v>123</v>
      </c>
      <c r="B6" s="3">
        <v>11353.6929674885</v>
      </c>
      <c r="C6">
        <v>121.855783462524</v>
      </c>
      <c r="D6">
        <v>1.0355223902024</v>
      </c>
      <c r="E6" s="3">
        <v>10174.113327250299</v>
      </c>
      <c r="F6">
        <v>121.95017267975</v>
      </c>
      <c r="G6">
        <v>0.99921980378140496</v>
      </c>
      <c r="H6" s="3">
        <v>9933.3375874605499</v>
      </c>
      <c r="I6">
        <v>122.425993646365</v>
      </c>
      <c r="J6">
        <v>0.94464245565896499</v>
      </c>
      <c r="K6" s="3">
        <v>10589.7542225165</v>
      </c>
      <c r="L6">
        <v>120.223355190793</v>
      </c>
      <c r="M6">
        <v>0.94192820163228996</v>
      </c>
      <c r="N6" s="3">
        <v>10904.5238942428</v>
      </c>
      <c r="O6">
        <v>129.984239345985</v>
      </c>
      <c r="P6">
        <v>0.94283754513799001</v>
      </c>
      <c r="R6" s="4" t="s">
        <v>24</v>
      </c>
    </row>
    <row r="7" spans="1:18" x14ac:dyDescent="0.2">
      <c r="A7">
        <v>168</v>
      </c>
      <c r="B7" s="3">
        <v>2758.4426765840099</v>
      </c>
      <c r="C7">
        <v>145.08178234100299</v>
      </c>
      <c r="D7">
        <v>1.15267458022808</v>
      </c>
      <c r="E7" s="3">
        <v>3168.5763653876202</v>
      </c>
      <c r="F7">
        <v>139.36390958595899</v>
      </c>
      <c r="G7">
        <v>1.3221926509023001</v>
      </c>
      <c r="H7" s="3">
        <v>2674.1665461728398</v>
      </c>
      <c r="I7">
        <v>127.581834379317</v>
      </c>
      <c r="J7">
        <v>1.0162209178802799</v>
      </c>
      <c r="K7" s="3">
        <v>2774.7359493231402</v>
      </c>
      <c r="L7">
        <v>146.740060975669</v>
      </c>
      <c r="M7">
        <v>1.2037827580398299</v>
      </c>
      <c r="N7" s="3">
        <v>2823.8484545752799</v>
      </c>
      <c r="O7">
        <v>135.02096870713001</v>
      </c>
      <c r="P7">
        <v>0.98437892206181099</v>
      </c>
      <c r="R7" s="4" t="s">
        <v>25</v>
      </c>
    </row>
    <row r="8" spans="1:18" x14ac:dyDescent="0.2">
      <c r="A8">
        <v>172</v>
      </c>
      <c r="B8" s="3">
        <v>11829.431769954101</v>
      </c>
      <c r="C8">
        <v>125.49973726272501</v>
      </c>
      <c r="D8">
        <v>0.78259430979771005</v>
      </c>
      <c r="E8" s="3">
        <v>9266.6779423716398</v>
      </c>
      <c r="F8">
        <v>122.744314063288</v>
      </c>
      <c r="G8">
        <v>0.78170999555890597</v>
      </c>
      <c r="H8" s="3">
        <v>8742.4752463703899</v>
      </c>
      <c r="I8">
        <v>123.07782179423</v>
      </c>
      <c r="J8">
        <v>0.75538671035621596</v>
      </c>
      <c r="K8" s="3">
        <v>11450.540226835399</v>
      </c>
      <c r="L8">
        <v>136.39690321380201</v>
      </c>
      <c r="M8">
        <v>1.18404386500722</v>
      </c>
      <c r="N8" s="3">
        <v>9250.0578530267103</v>
      </c>
      <c r="O8">
        <v>110.553063575446</v>
      </c>
      <c r="P8">
        <v>0.57489098651622605</v>
      </c>
      <c r="R8" s="16" t="s">
        <v>143</v>
      </c>
    </row>
    <row r="9" spans="1:18" x14ac:dyDescent="0.2">
      <c r="A9">
        <v>185</v>
      </c>
      <c r="B9" s="3">
        <v>25888.2138433689</v>
      </c>
      <c r="C9">
        <v>96.480971574783297</v>
      </c>
      <c r="D9">
        <v>0.75011768662978295</v>
      </c>
      <c r="E9" s="3">
        <v>30448.066101414901</v>
      </c>
      <c r="F9">
        <v>97.700367494684201</v>
      </c>
      <c r="G9">
        <v>0.85835183006424198</v>
      </c>
      <c r="H9" s="3">
        <v>32775.547296957098</v>
      </c>
      <c r="I9">
        <v>104.744177334377</v>
      </c>
      <c r="J9">
        <v>0.97531841781570505</v>
      </c>
      <c r="K9" s="3">
        <v>31194.541390315</v>
      </c>
      <c r="L9">
        <v>106.44315618837</v>
      </c>
      <c r="M9">
        <v>0.87119466273483404</v>
      </c>
      <c r="N9" s="3">
        <v>31682.004272246399</v>
      </c>
      <c r="O9">
        <v>102.85973343209901</v>
      </c>
      <c r="P9">
        <v>0.93047310623455404</v>
      </c>
      <c r="R9" s="4" t="s">
        <v>33</v>
      </c>
    </row>
    <row r="10" spans="1:18" x14ac:dyDescent="0.2">
      <c r="A10">
        <v>195</v>
      </c>
      <c r="B10" s="3">
        <v>71739.214827038595</v>
      </c>
      <c r="C10">
        <v>109.979486465454</v>
      </c>
      <c r="D10">
        <v>0.64891940875816501</v>
      </c>
      <c r="E10" s="3">
        <v>53455.934241183102</v>
      </c>
      <c r="F10">
        <v>90.783409211563495</v>
      </c>
      <c r="G10">
        <v>0.52772235836524095</v>
      </c>
      <c r="H10" s="3">
        <v>55827.639813139598</v>
      </c>
      <c r="I10">
        <v>100.519188001457</v>
      </c>
      <c r="J10">
        <v>0.59720338504778703</v>
      </c>
      <c r="K10" s="3">
        <v>57277.969016652103</v>
      </c>
      <c r="L10">
        <v>97.151260883876205</v>
      </c>
      <c r="M10">
        <v>0.58952823189986503</v>
      </c>
      <c r="N10" s="3">
        <v>53110.672776946201</v>
      </c>
      <c r="O10">
        <v>82.201024136852297</v>
      </c>
      <c r="P10">
        <v>0.46227413195484302</v>
      </c>
      <c r="R10" s="4" t="s">
        <v>34</v>
      </c>
    </row>
    <row r="11" spans="1:18" x14ac:dyDescent="0.2">
      <c r="A11">
        <v>197</v>
      </c>
      <c r="B11" s="3">
        <v>13611.2077348044</v>
      </c>
      <c r="C11">
        <v>145.052111148834</v>
      </c>
      <c r="D11">
        <v>0.81568677891084695</v>
      </c>
      <c r="E11" s="3">
        <v>12811.7953336884</v>
      </c>
      <c r="F11">
        <v>139.818165296465</v>
      </c>
      <c r="G11">
        <v>0.83446832872863996</v>
      </c>
      <c r="H11" s="3">
        <v>11235.489685734699</v>
      </c>
      <c r="I11">
        <v>130.59053810044</v>
      </c>
      <c r="J11">
        <v>0.77737345760604404</v>
      </c>
      <c r="K11" s="3">
        <v>11549.9255252476</v>
      </c>
      <c r="L11">
        <v>138.285555346254</v>
      </c>
      <c r="M11">
        <v>0.70221745250658096</v>
      </c>
      <c r="N11" s="3">
        <v>13630.550543408201</v>
      </c>
      <c r="O11">
        <v>147.74493414112001</v>
      </c>
      <c r="P11">
        <v>0.67034024435116502</v>
      </c>
      <c r="R11" s="4" t="s">
        <v>36</v>
      </c>
    </row>
    <row r="12" spans="1:18" x14ac:dyDescent="0.2">
      <c r="A12">
        <v>237</v>
      </c>
      <c r="B12" s="3">
        <v>36822.120308314603</v>
      </c>
      <c r="C12">
        <v>139.992463588714</v>
      </c>
      <c r="D12">
        <v>1.0850253154643601</v>
      </c>
      <c r="E12" s="3">
        <v>23288.611136801301</v>
      </c>
      <c r="F12">
        <v>125.235767098729</v>
      </c>
      <c r="G12">
        <v>0.54339941350544196</v>
      </c>
      <c r="H12" s="3">
        <v>21828.394512210802</v>
      </c>
      <c r="I12">
        <v>124.648158262461</v>
      </c>
      <c r="J12">
        <v>0.69796067978548604</v>
      </c>
      <c r="K12" s="3">
        <v>21638.109513239</v>
      </c>
      <c r="L12">
        <v>120.222990235503</v>
      </c>
      <c r="M12">
        <v>0.62675291963595703</v>
      </c>
      <c r="N12" s="3">
        <v>22062.1535588652</v>
      </c>
      <c r="O12">
        <v>98.512574998197294</v>
      </c>
      <c r="P12">
        <v>0.43071010305480301</v>
      </c>
      <c r="R12" s="4" t="s">
        <v>38</v>
      </c>
    </row>
    <row r="13" spans="1:18" x14ac:dyDescent="0.2">
      <c r="A13">
        <v>272</v>
      </c>
      <c r="B13" s="3">
        <v>2107.32638668052</v>
      </c>
      <c r="C13">
        <v>157.362961769104</v>
      </c>
      <c r="D13">
        <v>1.2356963544570501</v>
      </c>
      <c r="E13" s="3">
        <v>1535.5831462210599</v>
      </c>
      <c r="F13">
        <v>145.14119736861201</v>
      </c>
      <c r="G13">
        <v>0.84864270259796903</v>
      </c>
      <c r="H13" s="3">
        <v>1756.7794259150801</v>
      </c>
      <c r="I13">
        <v>157.041812360145</v>
      </c>
      <c r="J13">
        <v>0.88228086467879097</v>
      </c>
      <c r="K13" s="3">
        <v>1515.5393278588599</v>
      </c>
      <c r="L13">
        <v>146.27786360687301</v>
      </c>
      <c r="M13">
        <v>0.87262599676532804</v>
      </c>
      <c r="N13" s="3">
        <v>1622.1631486625399</v>
      </c>
      <c r="O13">
        <v>145.19166863488101</v>
      </c>
      <c r="P13">
        <v>0.95877386540004805</v>
      </c>
      <c r="R13" s="4" t="s">
        <v>40</v>
      </c>
    </row>
    <row r="14" spans="1:18" x14ac:dyDescent="0.2">
      <c r="A14">
        <v>279</v>
      </c>
      <c r="B14" s="3">
        <v>82823.056886352599</v>
      </c>
      <c r="C14">
        <v>133.696472644805</v>
      </c>
      <c r="D14">
        <v>1.13280076231696</v>
      </c>
      <c r="E14" s="3">
        <v>34499.568050340204</v>
      </c>
      <c r="F14">
        <v>91.364041413681093</v>
      </c>
      <c r="G14">
        <v>0.57707656543660402</v>
      </c>
      <c r="H14" s="3">
        <v>36350.1308912842</v>
      </c>
      <c r="I14">
        <v>95.272123847389395</v>
      </c>
      <c r="J14">
        <v>0.55604603547107101</v>
      </c>
      <c r="K14" s="3">
        <v>47999.594065757097</v>
      </c>
      <c r="L14">
        <v>112.963502496652</v>
      </c>
      <c r="M14">
        <v>0.83170474184749099</v>
      </c>
      <c r="N14" s="3">
        <v>49262.889096285202</v>
      </c>
      <c r="O14">
        <v>112.443875047657</v>
      </c>
      <c r="P14">
        <v>0.66868921477693799</v>
      </c>
      <c r="R14" s="4" t="s">
        <v>20</v>
      </c>
    </row>
    <row r="15" spans="1:18" x14ac:dyDescent="0.2">
      <c r="A15">
        <v>709</v>
      </c>
      <c r="B15" s="3">
        <v>1482.96813856535</v>
      </c>
      <c r="C15">
        <v>134.80108976364099</v>
      </c>
      <c r="D15">
        <v>3.1152053720186899E-2</v>
      </c>
      <c r="E15" s="3">
        <v>857.36758722324896</v>
      </c>
      <c r="F15">
        <v>183.67090019803399</v>
      </c>
      <c r="G15">
        <v>1.2730766131148199E-2</v>
      </c>
      <c r="H15" s="3">
        <v>3234.64526129466</v>
      </c>
      <c r="I15">
        <v>177.94950019379499</v>
      </c>
      <c r="J15">
        <v>6.5814031247583699E-2</v>
      </c>
      <c r="K15" s="3">
        <v>784.49713022892797</v>
      </c>
      <c r="L15">
        <v>133.64044590978401</v>
      </c>
      <c r="M15">
        <v>1.2530454908957199E-2</v>
      </c>
      <c r="N15" s="3">
        <v>781.35994260914504</v>
      </c>
      <c r="O15">
        <v>133.69992060333701</v>
      </c>
      <c r="P15">
        <v>1.46334764254174E-2</v>
      </c>
      <c r="R15" s="4" t="s">
        <v>21</v>
      </c>
    </row>
    <row r="16" spans="1:18" x14ac:dyDescent="0.2">
      <c r="A16">
        <v>712</v>
      </c>
      <c r="B16" s="3">
        <v>2266.4486537312</v>
      </c>
      <c r="C16">
        <v>134.191668033599</v>
      </c>
      <c r="D16">
        <v>0.55108597521714697</v>
      </c>
      <c r="E16" s="3">
        <v>2688.0459949615401</v>
      </c>
      <c r="F16">
        <v>129.52510133865599</v>
      </c>
      <c r="G16">
        <v>0.66111218449446796</v>
      </c>
      <c r="H16" s="3">
        <v>2559.19849395455</v>
      </c>
      <c r="I16">
        <v>128.766056345647</v>
      </c>
      <c r="J16">
        <v>0.671995340031319</v>
      </c>
      <c r="K16" s="3">
        <v>3152.1437956954401</v>
      </c>
      <c r="L16">
        <v>134.78297209591801</v>
      </c>
      <c r="M16">
        <v>0.91383820299829899</v>
      </c>
      <c r="N16" s="3">
        <v>3061.6434194716098</v>
      </c>
      <c r="O16">
        <v>161.68049296661999</v>
      </c>
      <c r="P16">
        <v>0.60556982721901997</v>
      </c>
      <c r="R16" s="4" t="s">
        <v>22</v>
      </c>
    </row>
    <row r="17" spans="1:18" x14ac:dyDescent="0.2">
      <c r="A17">
        <v>714</v>
      </c>
      <c r="B17" s="3">
        <v>2531.6627935015299</v>
      </c>
      <c r="C17">
        <v>164.367449283599</v>
      </c>
      <c r="D17">
        <v>0.98145934576266602</v>
      </c>
      <c r="E17" s="3">
        <v>518.87545650241896</v>
      </c>
      <c r="F17">
        <v>115.85790890621099</v>
      </c>
      <c r="G17">
        <v>0.27313364596908402</v>
      </c>
      <c r="H17" s="3">
        <v>820.70635244891298</v>
      </c>
      <c r="I17">
        <v>145.365565728419</v>
      </c>
      <c r="J17">
        <v>0.46095488346942598</v>
      </c>
      <c r="K17" s="3">
        <v>535.27075571706405</v>
      </c>
      <c r="L17">
        <v>145.88925966256099</v>
      </c>
      <c r="M17">
        <v>0.23077672169732399</v>
      </c>
      <c r="N17" s="3">
        <v>633.43498923291304</v>
      </c>
      <c r="O17">
        <v>185.36859880478301</v>
      </c>
      <c r="P17">
        <v>0.31005020677430301</v>
      </c>
      <c r="R17" s="4" t="s">
        <v>26</v>
      </c>
    </row>
    <row r="18" spans="1:18" x14ac:dyDescent="0.2">
      <c r="A18">
        <v>722</v>
      </c>
      <c r="B18" s="3">
        <v>283529.10143405001</v>
      </c>
      <c r="C18">
        <v>135.48027276992701</v>
      </c>
      <c r="D18">
        <v>1.06317361525635</v>
      </c>
      <c r="E18" s="3">
        <v>216823.902362956</v>
      </c>
      <c r="F18">
        <v>119.58094322038301</v>
      </c>
      <c r="G18">
        <v>0.83321798769566302</v>
      </c>
      <c r="H18" s="3">
        <v>170097.129599048</v>
      </c>
      <c r="I18">
        <v>100.544643156009</v>
      </c>
      <c r="J18">
        <v>0.58566121460054599</v>
      </c>
      <c r="K18" s="3">
        <v>198519.37798041</v>
      </c>
      <c r="L18">
        <v>117.46949438668599</v>
      </c>
      <c r="M18">
        <v>0.73039980912964897</v>
      </c>
      <c r="N18" s="3">
        <v>207184.34807159399</v>
      </c>
      <c r="O18">
        <v>120.281002727472</v>
      </c>
      <c r="P18">
        <v>0.81011680337839598</v>
      </c>
      <c r="R18" s="4" t="s">
        <v>27</v>
      </c>
    </row>
    <row r="19" spans="1:18" x14ac:dyDescent="0.2">
      <c r="A19">
        <v>724</v>
      </c>
      <c r="B19" s="3">
        <v>5947.8496954781904</v>
      </c>
      <c r="C19">
        <v>74.0672349929809</v>
      </c>
      <c r="D19">
        <v>0.92734945003761504</v>
      </c>
      <c r="E19" s="3">
        <v>4993.8136231646404</v>
      </c>
      <c r="F19">
        <v>62.0953075805023</v>
      </c>
      <c r="G19">
        <v>0.76970395255276502</v>
      </c>
      <c r="H19" s="3">
        <v>4561.9521058932496</v>
      </c>
      <c r="I19">
        <v>58.735664649768196</v>
      </c>
      <c r="J19">
        <v>0.69671824795844906</v>
      </c>
      <c r="K19" s="3">
        <v>5151.2688862801097</v>
      </c>
      <c r="L19">
        <v>65.629151208212804</v>
      </c>
      <c r="M19">
        <v>0.83990944513652699</v>
      </c>
      <c r="N19" s="3">
        <v>5270.3975295276696</v>
      </c>
      <c r="O19">
        <v>62.087543434496602</v>
      </c>
      <c r="P19">
        <v>0.70010830615815101</v>
      </c>
      <c r="R19" s="4" t="s">
        <v>28</v>
      </c>
    </row>
    <row r="20" spans="1:18" x14ac:dyDescent="0.2">
      <c r="A20">
        <v>749</v>
      </c>
      <c r="B20" s="3">
        <v>59403.169208384803</v>
      </c>
      <c r="C20">
        <v>168.69330406188899</v>
      </c>
      <c r="D20">
        <v>1.9924870522240099</v>
      </c>
      <c r="E20" s="3">
        <v>19024.317029594898</v>
      </c>
      <c r="F20">
        <v>104.79200705662301</v>
      </c>
      <c r="G20">
        <v>0.67526558216079302</v>
      </c>
      <c r="H20" s="3">
        <v>20153.9003907486</v>
      </c>
      <c r="I20">
        <v>113.51251566210099</v>
      </c>
      <c r="J20">
        <v>0.77998313648719697</v>
      </c>
      <c r="K20" s="3">
        <v>26411.514840324799</v>
      </c>
      <c r="L20">
        <v>132.44233614375901</v>
      </c>
      <c r="M20">
        <v>1.2178348567553601</v>
      </c>
      <c r="N20" s="3">
        <v>34960.790388888301</v>
      </c>
      <c r="O20">
        <v>141.76018666974801</v>
      </c>
      <c r="P20">
        <v>1.2286513108135899</v>
      </c>
      <c r="R20" s="4" t="s">
        <v>29</v>
      </c>
    </row>
    <row r="21" spans="1:18" x14ac:dyDescent="0.2">
      <c r="A21">
        <v>777</v>
      </c>
      <c r="B21" s="3">
        <v>4560.5754022929996</v>
      </c>
      <c r="C21">
        <v>174.99520778656</v>
      </c>
      <c r="D21">
        <v>1.2103379562397001</v>
      </c>
      <c r="E21" s="3">
        <v>2559.7417961342899</v>
      </c>
      <c r="F21">
        <v>148.45549180987899</v>
      </c>
      <c r="G21">
        <v>0.83128728193778301</v>
      </c>
      <c r="H21" s="3">
        <v>2835.8802890799702</v>
      </c>
      <c r="I21">
        <v>157.613885213494</v>
      </c>
      <c r="J21">
        <v>0.93536722219782398</v>
      </c>
      <c r="K21" s="3">
        <v>2510.5334407664</v>
      </c>
      <c r="L21">
        <v>151.71018053250199</v>
      </c>
      <c r="M21">
        <v>0.76107200559490096</v>
      </c>
      <c r="N21" s="3">
        <v>2663.13785086699</v>
      </c>
      <c r="O21">
        <v>155.73893126630799</v>
      </c>
      <c r="P21">
        <v>0.54528181278446997</v>
      </c>
      <c r="R21" s="4" t="s">
        <v>30</v>
      </c>
    </row>
    <row r="22" spans="1:18" x14ac:dyDescent="0.2">
      <c r="A22">
        <v>782</v>
      </c>
      <c r="B22" s="3">
        <v>19931.899257220801</v>
      </c>
      <c r="C22">
        <v>130.73048591613701</v>
      </c>
      <c r="D22">
        <v>0.76650779688461601</v>
      </c>
      <c r="E22" s="3">
        <v>19479.031510419802</v>
      </c>
      <c r="F22">
        <v>117.390931991899</v>
      </c>
      <c r="G22">
        <v>0.705667132586836</v>
      </c>
      <c r="H22" s="3">
        <v>20719.4200807536</v>
      </c>
      <c r="I22">
        <v>118.811533836942</v>
      </c>
      <c r="J22">
        <v>0.77721107715722904</v>
      </c>
      <c r="K22" s="3">
        <v>19002.169402445699</v>
      </c>
      <c r="L22">
        <v>114.271877823926</v>
      </c>
      <c r="M22">
        <v>0.72251098081734499</v>
      </c>
      <c r="N22" s="3">
        <v>18631.0143773407</v>
      </c>
      <c r="O22">
        <v>118.181226662117</v>
      </c>
      <c r="P22">
        <v>0.74114815045581905</v>
      </c>
      <c r="R22" s="4" t="s">
        <v>31</v>
      </c>
    </row>
    <row r="23" spans="1:18" x14ac:dyDescent="0.2">
      <c r="A23">
        <v>792</v>
      </c>
      <c r="B23" s="3">
        <v>21337.5657468231</v>
      </c>
      <c r="C23">
        <v>101.574432849884</v>
      </c>
      <c r="D23">
        <v>0.97823576803773604</v>
      </c>
      <c r="E23" s="3">
        <v>17062.984812482999</v>
      </c>
      <c r="F23">
        <v>95.898137138436098</v>
      </c>
      <c r="G23">
        <v>0.84458714262376</v>
      </c>
      <c r="H23" s="3">
        <v>17238.628463140401</v>
      </c>
      <c r="I23">
        <v>98.417401314670897</v>
      </c>
      <c r="J23">
        <v>0.82262657393538297</v>
      </c>
      <c r="K23" s="3">
        <v>18935.0132702601</v>
      </c>
      <c r="L23">
        <v>98.610314772258604</v>
      </c>
      <c r="M23">
        <v>0.96157457967972704</v>
      </c>
      <c r="N23" s="3">
        <v>18250.548488832399</v>
      </c>
      <c r="O23">
        <v>100.039605960248</v>
      </c>
      <c r="P23">
        <v>0.81996775171230696</v>
      </c>
      <c r="R23" s="4" t="s">
        <v>35</v>
      </c>
    </row>
    <row r="24" spans="1:18" x14ac:dyDescent="0.2">
      <c r="A24">
        <v>804</v>
      </c>
      <c r="B24" s="3">
        <v>5970.6957718510403</v>
      </c>
      <c r="C24">
        <v>154.46199178695599</v>
      </c>
      <c r="D24">
        <v>0.72336494468430601</v>
      </c>
      <c r="E24" s="3">
        <v>6392.3527955814998</v>
      </c>
      <c r="F24">
        <v>121.618919795236</v>
      </c>
      <c r="G24">
        <v>0.80897774369873499</v>
      </c>
      <c r="H24" s="3">
        <v>5535.8342551701598</v>
      </c>
      <c r="I24">
        <v>125.881076170452</v>
      </c>
      <c r="J24">
        <v>0.66639479860350004</v>
      </c>
      <c r="K24" s="3">
        <v>6427.3040412303199</v>
      </c>
      <c r="L24">
        <v>138.05503472176301</v>
      </c>
      <c r="M24">
        <v>0.79913713750202497</v>
      </c>
      <c r="N24" s="3">
        <v>5958.6374476924602</v>
      </c>
      <c r="O24">
        <v>133.01142892075401</v>
      </c>
      <c r="P24">
        <v>0.75714802157314298</v>
      </c>
      <c r="R24" s="4" t="s">
        <v>37</v>
      </c>
    </row>
    <row r="25" spans="1:18" x14ac:dyDescent="0.2">
      <c r="A25">
        <v>812</v>
      </c>
      <c r="B25" s="3">
        <v>30119.452850276</v>
      </c>
      <c r="C25">
        <v>95.009922981262207</v>
      </c>
      <c r="D25">
        <v>2.57868167046496</v>
      </c>
      <c r="E25" s="3">
        <v>25246.989055296301</v>
      </c>
      <c r="F25">
        <v>87.441142348662893</v>
      </c>
      <c r="G25">
        <v>1.9372161433797701</v>
      </c>
      <c r="H25" s="3">
        <v>25303.7493397301</v>
      </c>
      <c r="I25">
        <v>93.807086551800595</v>
      </c>
      <c r="J25">
        <v>2.10181991159445</v>
      </c>
      <c r="K25" s="3">
        <v>24624.368702096901</v>
      </c>
      <c r="L25">
        <v>92.614731606740193</v>
      </c>
      <c r="M25">
        <v>2.21347950086151</v>
      </c>
      <c r="N25" s="3">
        <v>24593.518949761201</v>
      </c>
      <c r="O25">
        <v>89.678247908721104</v>
      </c>
      <c r="P25">
        <v>1.9540391972375899</v>
      </c>
      <c r="R25" s="4" t="s">
        <v>39</v>
      </c>
    </row>
    <row r="26" spans="1:18" x14ac:dyDescent="0.2">
      <c r="A26">
        <v>816</v>
      </c>
      <c r="B26" s="3">
        <v>5413.6699197494399</v>
      </c>
      <c r="C26">
        <v>176.527047157287</v>
      </c>
      <c r="D26">
        <v>0.34765870767978602</v>
      </c>
      <c r="E26" s="3">
        <v>5744.0279621826703</v>
      </c>
      <c r="F26">
        <v>163.98991841072501</v>
      </c>
      <c r="G26">
        <v>0.36798252511766899</v>
      </c>
      <c r="H26" s="3">
        <v>6685.4579786802897</v>
      </c>
      <c r="I26">
        <v>177.05948761545801</v>
      </c>
      <c r="J26">
        <v>0.50470751178130502</v>
      </c>
      <c r="K26" s="3">
        <v>3981.1797176319701</v>
      </c>
      <c r="L26">
        <v>176.55778495062501</v>
      </c>
      <c r="M26">
        <v>0.299288739036151</v>
      </c>
      <c r="N26" s="3">
        <v>3240.0767306903899</v>
      </c>
      <c r="O26">
        <v>154.71903728209699</v>
      </c>
      <c r="P26">
        <v>0.22609015111503999</v>
      </c>
      <c r="R26" s="4" t="s">
        <v>144</v>
      </c>
    </row>
    <row r="27" spans="1:18" x14ac:dyDescent="0.2">
      <c r="A27">
        <v>822</v>
      </c>
      <c r="B27" s="3">
        <v>32226.5143011154</v>
      </c>
      <c r="C27">
        <v>134.76825952529899</v>
      </c>
      <c r="D27">
        <v>0.97202408556897602</v>
      </c>
      <c r="E27" s="3">
        <v>27464.9795929213</v>
      </c>
      <c r="F27">
        <v>117.853039235164</v>
      </c>
      <c r="G27">
        <v>0.73394217883056201</v>
      </c>
      <c r="H27" s="3">
        <v>22388.1144934002</v>
      </c>
      <c r="I27">
        <v>113.520987540883</v>
      </c>
      <c r="J27">
        <v>0.63560966315794398</v>
      </c>
      <c r="K27" s="3">
        <v>29543.656466366399</v>
      </c>
      <c r="L27">
        <v>119.315553016159</v>
      </c>
      <c r="M27">
        <v>0.89971301476141297</v>
      </c>
      <c r="N27" s="3">
        <v>22261.938385475099</v>
      </c>
      <c r="O27">
        <v>125.591424242305</v>
      </c>
      <c r="P27">
        <v>0.64374662728730003</v>
      </c>
      <c r="R27" s="4" t="s">
        <v>115</v>
      </c>
    </row>
    <row r="28" spans="1:18" x14ac:dyDescent="0.2">
      <c r="A28">
        <v>827</v>
      </c>
      <c r="B28" s="3">
        <v>77107.0794155763</v>
      </c>
      <c r="C28">
        <v>121.53044939041099</v>
      </c>
      <c r="D28">
        <v>1.10178124163654</v>
      </c>
      <c r="E28" s="3">
        <v>82190.067771210102</v>
      </c>
      <c r="F28">
        <v>103.70931982881601</v>
      </c>
      <c r="G28">
        <v>1.34332111269333</v>
      </c>
      <c r="H28" s="3">
        <v>72929.412775036297</v>
      </c>
      <c r="I28">
        <v>98.236694831448006</v>
      </c>
      <c r="J28">
        <v>1.15398322559079</v>
      </c>
      <c r="K28" s="3">
        <v>82680.475869534799</v>
      </c>
      <c r="L28">
        <v>116.942569941253</v>
      </c>
      <c r="M28">
        <v>1.3276387943040799</v>
      </c>
      <c r="N28" s="3">
        <v>76122.437543503998</v>
      </c>
      <c r="O28">
        <v>102.889058954769</v>
      </c>
      <c r="P28">
        <v>1.1030756765682901</v>
      </c>
      <c r="R28" s="4" t="s">
        <v>113</v>
      </c>
    </row>
    <row r="29" spans="1:18" x14ac:dyDescent="0.2">
      <c r="A29">
        <v>838</v>
      </c>
      <c r="B29" s="3">
        <v>11240.339496652199</v>
      </c>
      <c r="C29">
        <v>112.047517299652</v>
      </c>
      <c r="D29">
        <v>1.04529813003134</v>
      </c>
      <c r="E29" s="3">
        <v>10118.810978817801</v>
      </c>
      <c r="F29">
        <v>96.573023574976304</v>
      </c>
      <c r="G29">
        <v>1.0686986186384599</v>
      </c>
      <c r="H29" s="3">
        <v>7158.25396132474</v>
      </c>
      <c r="I29">
        <v>80.247472316245094</v>
      </c>
      <c r="J29">
        <v>0.72250793454315898</v>
      </c>
      <c r="K29" s="3">
        <v>11266.5989639701</v>
      </c>
      <c r="L29">
        <v>94.573289288805796</v>
      </c>
      <c r="M29">
        <v>1.08817193314216</v>
      </c>
      <c r="N29" s="3">
        <v>6315.1368706168696</v>
      </c>
      <c r="O29">
        <v>75.375880031389897</v>
      </c>
      <c r="P29">
        <v>0.63690597625821799</v>
      </c>
      <c r="R29" s="4" t="s">
        <v>145</v>
      </c>
    </row>
    <row r="30" spans="1:18" x14ac:dyDescent="0.2">
      <c r="A30">
        <v>876</v>
      </c>
      <c r="B30" s="3">
        <v>4822.1698435455301</v>
      </c>
      <c r="C30">
        <v>200</v>
      </c>
      <c r="D30">
        <v>0.93243096301289297</v>
      </c>
      <c r="E30" s="3">
        <v>1937.40167626628</v>
      </c>
      <c r="F30">
        <v>200</v>
      </c>
      <c r="G30">
        <v>0.37462249153620603</v>
      </c>
      <c r="H30" s="3">
        <v>3043.64</v>
      </c>
      <c r="I30">
        <v>200</v>
      </c>
      <c r="J30">
        <v>0.58852844720185005</v>
      </c>
      <c r="K30" s="3">
        <v>3034.0227852831799</v>
      </c>
      <c r="L30">
        <v>200</v>
      </c>
      <c r="M30">
        <v>0.58666883028142103</v>
      </c>
      <c r="N30" s="3">
        <v>113.09747314453099</v>
      </c>
      <c r="O30">
        <v>200</v>
      </c>
      <c r="P30">
        <v>2.1868907049520901E-2</v>
      </c>
      <c r="R30" s="4" t="s">
        <v>71</v>
      </c>
    </row>
    <row r="31" spans="1:18" x14ac:dyDescent="0.2">
      <c r="A31">
        <v>877</v>
      </c>
      <c r="B31" s="3">
        <v>2617.6708158208098</v>
      </c>
      <c r="C31">
        <v>178.86962890625</v>
      </c>
      <c r="D31">
        <v>0.75584041467357699</v>
      </c>
      <c r="E31" s="3">
        <v>1979.0465472251301</v>
      </c>
      <c r="F31">
        <v>166.113674015681</v>
      </c>
      <c r="G31">
        <v>0.497582408090738</v>
      </c>
      <c r="H31" s="3">
        <v>2116.75095857009</v>
      </c>
      <c r="I31">
        <v>173.52577138525001</v>
      </c>
      <c r="J31">
        <v>0.66805879183063299</v>
      </c>
      <c r="K31" s="3">
        <v>2251.31073802218</v>
      </c>
      <c r="L31">
        <v>169.87890216094999</v>
      </c>
      <c r="M31">
        <v>0.79165565551045403</v>
      </c>
      <c r="N31" s="3">
        <v>2090.5463641525498</v>
      </c>
      <c r="O31">
        <v>171.43447495992601</v>
      </c>
      <c r="P31">
        <v>0.54067914301157305</v>
      </c>
      <c r="R31" s="4" t="s">
        <v>72</v>
      </c>
    </row>
    <row r="32" spans="1:18" x14ac:dyDescent="0.2">
      <c r="A32">
        <v>888</v>
      </c>
      <c r="B32" s="3">
        <v>4149.8718052489203</v>
      </c>
      <c r="C32">
        <v>118.203914165496</v>
      </c>
      <c r="D32">
        <v>0.49979628228985301</v>
      </c>
      <c r="E32" s="3">
        <v>5036.2184129450998</v>
      </c>
      <c r="F32">
        <v>96.403316844402696</v>
      </c>
      <c r="G32">
        <v>0.54947203951392798</v>
      </c>
      <c r="H32" s="3">
        <v>4706.7316703529305</v>
      </c>
      <c r="I32">
        <v>99.175175130378307</v>
      </c>
      <c r="J32">
        <v>0.53777022546532305</v>
      </c>
      <c r="K32" s="3">
        <v>5357.1086849639196</v>
      </c>
      <c r="L32">
        <v>95.934760480025403</v>
      </c>
      <c r="M32">
        <v>0.61065686932399799</v>
      </c>
      <c r="N32" s="3">
        <v>5247.6521400291103</v>
      </c>
      <c r="O32">
        <v>114.78086685769701</v>
      </c>
      <c r="P32">
        <v>0.49621194943416602</v>
      </c>
      <c r="R32" s="4" t="s">
        <v>73</v>
      </c>
    </row>
    <row r="33" spans="1:18" x14ac:dyDescent="0.2">
      <c r="A33">
        <v>890</v>
      </c>
      <c r="B33" s="3">
        <v>8429.80853875104</v>
      </c>
      <c r="C33">
        <v>84.692066907882605</v>
      </c>
      <c r="D33">
        <v>0.70837976272224201</v>
      </c>
      <c r="E33" s="3">
        <v>6860.7628469527199</v>
      </c>
      <c r="F33">
        <v>62.753118508957797</v>
      </c>
      <c r="G33">
        <v>0.48869321768125001</v>
      </c>
      <c r="H33" s="3">
        <v>6253.4366465494504</v>
      </c>
      <c r="I33">
        <v>56.774775499923003</v>
      </c>
      <c r="J33">
        <v>0.50540514464170905</v>
      </c>
      <c r="K33" s="3">
        <v>8142.3398569118799</v>
      </c>
      <c r="L33">
        <v>65.082728629146402</v>
      </c>
      <c r="M33">
        <v>0.58716616194876703</v>
      </c>
      <c r="N33" s="3">
        <v>8633.4638262139106</v>
      </c>
      <c r="O33">
        <v>88.554574333464004</v>
      </c>
      <c r="P33">
        <v>0.63681122766624398</v>
      </c>
      <c r="R33" s="4" t="s">
        <v>74</v>
      </c>
    </row>
    <row r="34" spans="1:18" ht="68" customHeight="1" x14ac:dyDescent="0.2">
      <c r="A34" s="2" t="s">
        <v>81</v>
      </c>
      <c r="B34" s="3">
        <f>AVERAGE(B2:B33)</f>
        <v>28473.960203427247</v>
      </c>
      <c r="C34">
        <f>AVERAGE(C2:C33)</f>
        <v>135.9958324581381</v>
      </c>
      <c r="D34">
        <f>AVERAGE(D2:D33)</f>
        <v>0.95321136929770922</v>
      </c>
      <c r="E34" s="3">
        <f>AVERAGE(E2:E33)</f>
        <v>21756.51288526904</v>
      </c>
      <c r="F34">
        <f>AVERAGE(F2:F33)</f>
        <v>122.5762731622614</v>
      </c>
      <c r="G34">
        <f>AVERAGE(G2:G33)</f>
        <v>0.73957392432502678</v>
      </c>
      <c r="H34" s="3">
        <f>AVERAGE(H2:H33)</f>
        <v>19756.704200291944</v>
      </c>
      <c r="I34">
        <f>AVERAGE(I2:I33)</f>
        <v>123.32780929600776</v>
      </c>
      <c r="J34">
        <f>AVERAGE(J2:J33)</f>
        <v>0.75311100332383418</v>
      </c>
      <c r="K34" s="3">
        <f>AVERAGE(K2:K33)</f>
        <v>21932.392277694544</v>
      </c>
      <c r="L34">
        <f>AVERAGE(L2:L33)</f>
        <v>125.96343974229396</v>
      </c>
      <c r="M34">
        <f>AVERAGE(M2:M33)</f>
        <v>0.85474334855225398</v>
      </c>
      <c r="N34" s="3">
        <f>AVERAGE(N2:N33)</f>
        <v>21657.682278297387</v>
      </c>
      <c r="O34">
        <f>AVERAGE(O2:O33)</f>
        <v>126.1960151076054</v>
      </c>
      <c r="P34">
        <f>AVERAGE(P2:P33)</f>
        <v>0.68761032535327671</v>
      </c>
      <c r="R34" s="4" t="s">
        <v>146</v>
      </c>
    </row>
    <row r="35" spans="1:18" x14ac:dyDescent="0.2">
      <c r="R35" s="4" t="s">
        <v>147</v>
      </c>
    </row>
    <row r="36" spans="1:18" x14ac:dyDescent="0.2">
      <c r="R36" s="4" t="s">
        <v>148</v>
      </c>
    </row>
    <row r="37" spans="1:18" x14ac:dyDescent="0.2">
      <c r="A37" t="s">
        <v>89</v>
      </c>
      <c r="R37" s="4" t="s">
        <v>149</v>
      </c>
    </row>
    <row r="38" spans="1:18" ht="51" x14ac:dyDescent="0.2">
      <c r="A38" s="1" t="s">
        <v>0</v>
      </c>
      <c r="B38" s="2" t="s">
        <v>1</v>
      </c>
      <c r="C38" s="1" t="s">
        <v>2</v>
      </c>
      <c r="D38" s="1" t="s">
        <v>3</v>
      </c>
      <c r="E38" s="2" t="s">
        <v>4</v>
      </c>
      <c r="F38" s="1" t="s">
        <v>5</v>
      </c>
      <c r="G38" s="1" t="s">
        <v>6</v>
      </c>
      <c r="H38" s="2" t="s">
        <v>7</v>
      </c>
      <c r="I38" s="1" t="s">
        <v>8</v>
      </c>
      <c r="J38" s="1" t="s">
        <v>9</v>
      </c>
      <c r="K38" s="2" t="s">
        <v>10</v>
      </c>
      <c r="L38" s="1" t="s">
        <v>11</v>
      </c>
      <c r="M38" s="1" t="s">
        <v>12</v>
      </c>
      <c r="N38" s="2" t="s">
        <v>13</v>
      </c>
      <c r="O38" s="1" t="s">
        <v>14</v>
      </c>
      <c r="P38" s="1" t="s">
        <v>15</v>
      </c>
      <c r="R38" s="4" t="s">
        <v>138</v>
      </c>
    </row>
    <row r="39" spans="1:18" x14ac:dyDescent="0.2">
      <c r="A39">
        <v>47</v>
      </c>
      <c r="B39" s="3">
        <f>B2/MIN($B2,$E2,$H2,$K2,$N2)</f>
        <v>1.1640105175826256</v>
      </c>
      <c r="C39" s="5">
        <f>C2</f>
        <v>131.069767475128</v>
      </c>
      <c r="D39" s="5">
        <f>D2</f>
        <v>0.63687892018840297</v>
      </c>
      <c r="E39" s="3">
        <f>E2/MIN($B2,$E2,$H2,$K2,$N2)</f>
        <v>1</v>
      </c>
      <c r="F39" s="5">
        <f>F2</f>
        <v>124.46870657701101</v>
      </c>
      <c r="G39" s="5">
        <f>G2</f>
        <v>0.59550928053681895</v>
      </c>
      <c r="H39" s="3">
        <f>H2/MIN($B2,$E2,$H2,$K2,$N2)</f>
        <v>1.0146936028847453</v>
      </c>
      <c r="I39" s="5">
        <f>I2</f>
        <v>133.85062945097499</v>
      </c>
      <c r="J39" s="5">
        <f>J2</f>
        <v>0.66725725652208601</v>
      </c>
      <c r="K39" s="3">
        <f>K2/MIN($B2,$E2,$H2,$K2,$N2)</f>
        <v>1.0604740440707972</v>
      </c>
      <c r="L39" s="5">
        <f>L2</f>
        <v>126.245734389259</v>
      </c>
      <c r="M39" s="5">
        <f>M2</f>
        <v>0.62625614196540802</v>
      </c>
      <c r="N39" s="3">
        <f>N2/MIN($B2,$E2,$H2,$K2,$N2)</f>
        <v>1.0221691938199469</v>
      </c>
      <c r="O39" s="5">
        <f>O2</f>
        <v>123.408067578966</v>
      </c>
      <c r="P39" s="5">
        <f>P2</f>
        <v>0.59045635397165996</v>
      </c>
    </row>
    <row r="40" spans="1:18" x14ac:dyDescent="0.2">
      <c r="A40">
        <v>65</v>
      </c>
      <c r="B40" s="3">
        <f t="shared" ref="B40:B66" si="0">B3/MIN($B3,$E3,$H3,$K3,$N3)</f>
        <v>2.0291094032355113</v>
      </c>
      <c r="C40" s="5">
        <f t="shared" ref="C40:D40" si="1">C3</f>
        <v>192.57034063339199</v>
      </c>
      <c r="D40" s="5">
        <f t="shared" si="1"/>
        <v>1.55409335660903</v>
      </c>
      <c r="E40" s="3">
        <f t="shared" ref="E40:E66" si="2">E3/MIN($B3,$E3,$H3,$K3,$N3)</f>
        <v>1.0688993663751494</v>
      </c>
      <c r="F40" s="5">
        <f t="shared" ref="F40:G40" si="3">F3</f>
        <v>179.19803551747</v>
      </c>
      <c r="G40" s="5">
        <f t="shared" si="3"/>
        <v>0.99346582017927998</v>
      </c>
      <c r="H40" s="3">
        <f t="shared" ref="H40:H66" si="4">H3/MIN($B3,$E3,$H3,$K3,$N3)</f>
        <v>1</v>
      </c>
      <c r="I40" s="5">
        <f t="shared" ref="I40:J40" si="5">I3</f>
        <v>170.83874721529301</v>
      </c>
      <c r="J40" s="5">
        <f t="shared" si="5"/>
        <v>0.93436426654219096</v>
      </c>
      <c r="K40" s="3">
        <f t="shared" ref="K40:K66" si="6">K3/MIN($B3,$E3,$H3,$K3,$N3)</f>
        <v>1.0192613529736372</v>
      </c>
      <c r="L40" s="5">
        <f t="shared" ref="L40:M40" si="7">L3</f>
        <v>171.73022163603801</v>
      </c>
      <c r="M40" s="5">
        <f t="shared" si="7"/>
        <v>1.0557673192484101</v>
      </c>
      <c r="N40" s="3">
        <f t="shared" ref="N40:N66" si="8">N3/MIN($B3,$E3,$H3,$K3,$N3)</f>
        <v>1.0273542558260489</v>
      </c>
      <c r="O40" s="5">
        <f t="shared" ref="O40:P40" si="9">O3</f>
        <v>176.42631120188</v>
      </c>
      <c r="P40" s="5">
        <f t="shared" si="9"/>
        <v>0.83189709013802304</v>
      </c>
    </row>
    <row r="41" spans="1:18" x14ac:dyDescent="0.2">
      <c r="A41">
        <v>98</v>
      </c>
      <c r="B41" s="3">
        <f t="shared" si="0"/>
        <v>2.686427124510701</v>
      </c>
      <c r="C41" s="5">
        <f t="shared" ref="C41:D41" si="10">C4</f>
        <v>194.822514057159</v>
      </c>
      <c r="D41" s="5">
        <f t="shared" si="10"/>
        <v>0.68471567525205601</v>
      </c>
      <c r="E41" s="3">
        <f t="shared" si="2"/>
        <v>1</v>
      </c>
      <c r="F41" s="5">
        <f t="shared" ref="F41:G41" si="11">F4</f>
        <v>198.655282308875</v>
      </c>
      <c r="G41" s="5">
        <f t="shared" si="11"/>
        <v>0.34840919764515299</v>
      </c>
      <c r="H41" s="3">
        <f t="shared" si="4"/>
        <v>2.0965428514586057</v>
      </c>
      <c r="I41" s="5">
        <f t="shared" ref="I41:J41" si="12">I4</f>
        <v>194.260563949595</v>
      </c>
      <c r="J41" s="5">
        <f t="shared" si="12"/>
        <v>0.85743343271314598</v>
      </c>
      <c r="K41" s="3">
        <f t="shared" si="6"/>
        <v>4.0410757962242618</v>
      </c>
      <c r="L41" s="5">
        <f t="shared" ref="L41:M41" si="13">L4</f>
        <v>196.20623688573701</v>
      </c>
      <c r="M41" s="5">
        <f t="shared" si="13"/>
        <v>1.66283346524625</v>
      </c>
      <c r="N41" s="3">
        <f t="shared" si="8"/>
        <v>1.5277793494514962</v>
      </c>
      <c r="O41" s="5">
        <f t="shared" ref="O41:P41" si="14">O4</f>
        <v>194.42370170177699</v>
      </c>
      <c r="P41" s="5">
        <f t="shared" si="14"/>
        <v>0.61249005454094196</v>
      </c>
    </row>
    <row r="42" spans="1:18" x14ac:dyDescent="0.2">
      <c r="A42">
        <v>114</v>
      </c>
      <c r="B42" s="3">
        <f t="shared" si="0"/>
        <v>1.3645464126963627</v>
      </c>
      <c r="C42" s="5">
        <f t="shared" ref="C42:D42" si="15">C5</f>
        <v>63.390302658080998</v>
      </c>
      <c r="D42" s="5">
        <f t="shared" si="15"/>
        <v>0.82099306256734905</v>
      </c>
      <c r="E42" s="3">
        <f t="shared" si="2"/>
        <v>1.2533077096871414</v>
      </c>
      <c r="F42" s="5">
        <f t="shared" ref="F42:G42" si="16">F5</f>
        <v>52.295170773032503</v>
      </c>
      <c r="G42" s="5">
        <f t="shared" si="16"/>
        <v>0.6589834757659</v>
      </c>
      <c r="H42" s="3">
        <f t="shared" si="4"/>
        <v>1.0366381542332603</v>
      </c>
      <c r="I42" s="5">
        <f t="shared" ref="I42:J42" si="17">I5</f>
        <v>43.693015987518798</v>
      </c>
      <c r="J42" s="5">
        <f t="shared" si="17"/>
        <v>0.55694684478931</v>
      </c>
      <c r="K42" s="3">
        <f t="shared" si="6"/>
        <v>1</v>
      </c>
      <c r="L42" s="5">
        <f t="shared" ref="L42:M42" si="18">L5</f>
        <v>48.541843373504598</v>
      </c>
      <c r="M42" s="5">
        <f t="shared" si="18"/>
        <v>0.58912770375260304</v>
      </c>
      <c r="N42" s="3">
        <f t="shared" si="8"/>
        <v>1.0471653321764398</v>
      </c>
      <c r="O42" s="5">
        <f t="shared" ref="O42:P42" si="19">O5</f>
        <v>44.629818355129203</v>
      </c>
      <c r="P42" s="5">
        <f t="shared" si="19"/>
        <v>0.55321427024329295</v>
      </c>
    </row>
    <row r="43" spans="1:18" x14ac:dyDescent="0.2">
      <c r="A43">
        <v>123</v>
      </c>
      <c r="B43" s="3">
        <f t="shared" si="0"/>
        <v>1.142988735409632</v>
      </c>
      <c r="C43" s="5">
        <f t="shared" ref="C43:D43" si="20">C6</f>
        <v>121.855783462524</v>
      </c>
      <c r="D43" s="5">
        <f t="shared" si="20"/>
        <v>1.0355223902024</v>
      </c>
      <c r="E43" s="3">
        <f t="shared" si="2"/>
        <v>1.0242391580543577</v>
      </c>
      <c r="F43" s="5">
        <f t="shared" ref="F43:G43" si="21">F6</f>
        <v>121.95017267975</v>
      </c>
      <c r="G43" s="5">
        <f t="shared" si="21"/>
        <v>0.99921980378140496</v>
      </c>
      <c r="H43" s="3">
        <f t="shared" si="4"/>
        <v>1</v>
      </c>
      <c r="I43" s="5">
        <f t="shared" ref="I43:J43" si="22">I6</f>
        <v>122.425993646365</v>
      </c>
      <c r="J43" s="5">
        <f t="shared" si="22"/>
        <v>0.94464245565896499</v>
      </c>
      <c r="K43" s="3">
        <f t="shared" si="6"/>
        <v>1.0660821832819398</v>
      </c>
      <c r="L43" s="5">
        <f t="shared" ref="L43:M43" si="23">L6</f>
        <v>120.223355190793</v>
      </c>
      <c r="M43" s="5">
        <f t="shared" si="23"/>
        <v>0.94192820163228996</v>
      </c>
      <c r="N43" s="3">
        <f t="shared" si="8"/>
        <v>1.0977703916967685</v>
      </c>
      <c r="O43" s="5">
        <f t="shared" ref="O43:P43" si="24">O6</f>
        <v>129.984239345985</v>
      </c>
      <c r="P43" s="5">
        <f t="shared" si="24"/>
        <v>0.94283754513799001</v>
      </c>
    </row>
    <row r="44" spans="1:18" x14ac:dyDescent="0.2">
      <c r="A44">
        <v>168</v>
      </c>
      <c r="B44" s="3">
        <f t="shared" si="0"/>
        <v>1.0315149146307969</v>
      </c>
      <c r="C44" s="5">
        <f t="shared" ref="C44:D44" si="25">C7</f>
        <v>145.08178234100299</v>
      </c>
      <c r="D44" s="5">
        <f t="shared" si="25"/>
        <v>1.15267458022808</v>
      </c>
      <c r="E44" s="3">
        <f t="shared" si="2"/>
        <v>1.1848837051388441</v>
      </c>
      <c r="F44" s="5">
        <f t="shared" ref="F44:G44" si="26">F7</f>
        <v>139.36390958595899</v>
      </c>
      <c r="G44" s="5">
        <f t="shared" si="26"/>
        <v>1.3221926509023001</v>
      </c>
      <c r="H44" s="3">
        <f t="shared" si="4"/>
        <v>1</v>
      </c>
      <c r="I44" s="5">
        <f t="shared" ref="I44:J44" si="27">I7</f>
        <v>127.581834379317</v>
      </c>
      <c r="J44" s="5">
        <f t="shared" si="27"/>
        <v>1.0162209178802799</v>
      </c>
      <c r="K44" s="3">
        <f t="shared" si="6"/>
        <v>1.0376077560667383</v>
      </c>
      <c r="L44" s="5">
        <f t="shared" ref="L44:M44" si="28">L7</f>
        <v>146.740060975669</v>
      </c>
      <c r="M44" s="5">
        <f t="shared" si="28"/>
        <v>1.2037827580398299</v>
      </c>
      <c r="N44" s="3">
        <f t="shared" si="8"/>
        <v>1.0559732932926928</v>
      </c>
      <c r="O44" s="5">
        <f t="shared" ref="O44:P44" si="29">O7</f>
        <v>135.02096870713001</v>
      </c>
      <c r="P44" s="5">
        <f t="shared" si="29"/>
        <v>0.98437892206181099</v>
      </c>
    </row>
    <row r="45" spans="1:18" x14ac:dyDescent="0.2">
      <c r="A45">
        <v>172</v>
      </c>
      <c r="B45" s="3">
        <f t="shared" si="0"/>
        <v>1.3530986861947731</v>
      </c>
      <c r="C45" s="5">
        <f t="shared" ref="C45:D45" si="30">C8</f>
        <v>125.49973726272501</v>
      </c>
      <c r="D45" s="5">
        <f t="shared" si="30"/>
        <v>0.78259430979771005</v>
      </c>
      <c r="E45" s="3">
        <f t="shared" si="2"/>
        <v>1.0599604438364161</v>
      </c>
      <c r="F45" s="5">
        <f t="shared" ref="F45:G45" si="31">F8</f>
        <v>122.744314063288</v>
      </c>
      <c r="G45" s="5">
        <f t="shared" si="31"/>
        <v>0.78170999555890597</v>
      </c>
      <c r="H45" s="3">
        <f t="shared" si="4"/>
        <v>1</v>
      </c>
      <c r="I45" s="5">
        <f t="shared" ref="I45:J45" si="32">I8</f>
        <v>123.07782179423</v>
      </c>
      <c r="J45" s="5">
        <f t="shared" si="32"/>
        <v>0.75538671035621596</v>
      </c>
      <c r="K45" s="3">
        <f t="shared" si="6"/>
        <v>1.3097595250943737</v>
      </c>
      <c r="L45" s="5">
        <f t="shared" ref="L45:M45" si="33">L8</f>
        <v>136.39690321380201</v>
      </c>
      <c r="M45" s="5">
        <f t="shared" si="33"/>
        <v>1.18404386500722</v>
      </c>
      <c r="N45" s="3">
        <f t="shared" si="8"/>
        <v>1.0580593701843255</v>
      </c>
      <c r="O45" s="5">
        <f t="shared" ref="O45:P45" si="34">O8</f>
        <v>110.553063575446</v>
      </c>
      <c r="P45" s="5">
        <f t="shared" si="34"/>
        <v>0.57489098651622605</v>
      </c>
    </row>
    <row r="46" spans="1:18" x14ac:dyDescent="0.2">
      <c r="A46">
        <v>185</v>
      </c>
      <c r="B46" s="3">
        <f t="shared" si="0"/>
        <v>1</v>
      </c>
      <c r="C46" s="5">
        <f t="shared" ref="C46:D46" si="35">C9</f>
        <v>96.480971574783297</v>
      </c>
      <c r="D46" s="5">
        <f t="shared" si="35"/>
        <v>0.75011768662978295</v>
      </c>
      <c r="E46" s="3">
        <f t="shared" si="2"/>
        <v>1.1761362249877265</v>
      </c>
      <c r="F46" s="5">
        <f t="shared" ref="F46:G46" si="36">F9</f>
        <v>97.700367494684201</v>
      </c>
      <c r="G46" s="5">
        <f t="shared" si="36"/>
        <v>0.85835183006424198</v>
      </c>
      <c r="H46" s="3">
        <f t="shared" si="4"/>
        <v>1.2660412763606843</v>
      </c>
      <c r="I46" s="5">
        <f t="shared" ref="I46:J46" si="37">I9</f>
        <v>104.744177334377</v>
      </c>
      <c r="J46" s="5">
        <f t="shared" si="37"/>
        <v>0.97531841781570505</v>
      </c>
      <c r="K46" s="3">
        <f t="shared" si="6"/>
        <v>1.2049707862833219</v>
      </c>
      <c r="L46" s="5">
        <f t="shared" ref="L46:M46" si="38">L9</f>
        <v>106.44315618837</v>
      </c>
      <c r="M46" s="5">
        <f t="shared" si="38"/>
        <v>0.87119466273483404</v>
      </c>
      <c r="N46" s="3">
        <f t="shared" si="8"/>
        <v>1.2238003156158856</v>
      </c>
      <c r="O46" s="5">
        <f t="shared" ref="O46:P46" si="39">O9</f>
        <v>102.85973343209901</v>
      </c>
      <c r="P46" s="5">
        <f t="shared" si="39"/>
        <v>0.93047310623455404</v>
      </c>
    </row>
    <row r="47" spans="1:18" x14ac:dyDescent="0.2">
      <c r="A47">
        <v>195</v>
      </c>
      <c r="B47" s="3">
        <f t="shared" si="0"/>
        <v>1.350749502427288</v>
      </c>
      <c r="C47" s="5">
        <f t="shared" ref="C47:D47" si="40">C10</f>
        <v>109.979486465454</v>
      </c>
      <c r="D47" s="5">
        <f t="shared" si="40"/>
        <v>0.64891940875816501</v>
      </c>
      <c r="E47" s="3">
        <f t="shared" si="2"/>
        <v>1.0065007925184253</v>
      </c>
      <c r="F47" s="5">
        <f t="shared" ref="F47:G47" si="41">F10</f>
        <v>90.783409211563495</v>
      </c>
      <c r="G47" s="5">
        <f t="shared" si="41"/>
        <v>0.52772235836524095</v>
      </c>
      <c r="H47" s="3">
        <f t="shared" si="4"/>
        <v>1.0511567053123974</v>
      </c>
      <c r="I47" s="5">
        <f t="shared" ref="I47:J47" si="42">I10</f>
        <v>100.519188001457</v>
      </c>
      <c r="J47" s="5">
        <f t="shared" si="42"/>
        <v>0.59720338504778703</v>
      </c>
      <c r="K47" s="3">
        <f t="shared" si="6"/>
        <v>1.0784643843094905</v>
      </c>
      <c r="L47" s="5">
        <f t="shared" ref="L47:M47" si="43">L10</f>
        <v>97.151260883876205</v>
      </c>
      <c r="M47" s="5">
        <f t="shared" si="43"/>
        <v>0.58952823189986503</v>
      </c>
      <c r="N47" s="3">
        <f t="shared" si="8"/>
        <v>1</v>
      </c>
      <c r="O47" s="5">
        <f t="shared" ref="O47:P47" si="44">O10</f>
        <v>82.201024136852297</v>
      </c>
      <c r="P47" s="5">
        <f t="shared" si="44"/>
        <v>0.46227413195484302</v>
      </c>
    </row>
    <row r="48" spans="1:18" x14ac:dyDescent="0.2">
      <c r="A48">
        <v>197</v>
      </c>
      <c r="B48" s="3">
        <f t="shared" si="0"/>
        <v>1.2114476641001295</v>
      </c>
      <c r="C48" s="5">
        <f t="shared" ref="C48:D48" si="45">C11</f>
        <v>145.052111148834</v>
      </c>
      <c r="D48" s="5">
        <f t="shared" si="45"/>
        <v>0.81568677891084695</v>
      </c>
      <c r="E48" s="3">
        <f t="shared" si="2"/>
        <v>1.1402970134853205</v>
      </c>
      <c r="F48" s="5">
        <f t="shared" ref="F48:G48" si="46">F11</f>
        <v>139.818165296465</v>
      </c>
      <c r="G48" s="5">
        <f t="shared" si="46"/>
        <v>0.83446832872863996</v>
      </c>
      <c r="H48" s="3">
        <f t="shared" si="4"/>
        <v>1</v>
      </c>
      <c r="I48" s="5">
        <f t="shared" ref="I48:J48" si="47">I11</f>
        <v>130.59053810044</v>
      </c>
      <c r="J48" s="5">
        <f t="shared" si="47"/>
        <v>0.77737345760604404</v>
      </c>
      <c r="K48" s="3">
        <f t="shared" si="6"/>
        <v>1.0279859488378267</v>
      </c>
      <c r="L48" s="5">
        <f t="shared" ref="L48:M48" si="48">L11</f>
        <v>138.285555346254</v>
      </c>
      <c r="M48" s="5">
        <f t="shared" si="48"/>
        <v>0.70221745250658096</v>
      </c>
      <c r="N48" s="3">
        <f t="shared" si="8"/>
        <v>1.2131692453702685</v>
      </c>
      <c r="O48" s="5">
        <f t="shared" ref="O48:P48" si="49">O11</f>
        <v>147.74493414112001</v>
      </c>
      <c r="P48" s="5">
        <f t="shared" si="49"/>
        <v>0.67034024435116502</v>
      </c>
    </row>
    <row r="49" spans="1:16" x14ac:dyDescent="0.2">
      <c r="A49">
        <v>237</v>
      </c>
      <c r="B49" s="3">
        <f t="shared" si="0"/>
        <v>1.7017253880606096</v>
      </c>
      <c r="C49" s="5">
        <f t="shared" ref="C49:D49" si="50">C12</f>
        <v>139.992463588714</v>
      </c>
      <c r="D49" s="5">
        <f t="shared" si="50"/>
        <v>1.0850253154643601</v>
      </c>
      <c r="E49" s="3">
        <f t="shared" si="2"/>
        <v>1.0762775335133812</v>
      </c>
      <c r="F49" s="5">
        <f t="shared" ref="F49:G49" si="51">F12</f>
        <v>125.235767098729</v>
      </c>
      <c r="G49" s="5">
        <f t="shared" si="51"/>
        <v>0.54339941350544196</v>
      </c>
      <c r="H49" s="3">
        <f t="shared" si="4"/>
        <v>1.00879397522484</v>
      </c>
      <c r="I49" s="5">
        <f t="shared" ref="I49:J49" si="52">I12</f>
        <v>124.648158262461</v>
      </c>
      <c r="J49" s="5">
        <f t="shared" si="52"/>
        <v>0.69796067978548604</v>
      </c>
      <c r="K49" s="3">
        <f t="shared" si="6"/>
        <v>1</v>
      </c>
      <c r="L49" s="5">
        <f t="shared" ref="L49:M49" si="53">L12</f>
        <v>120.222990235503</v>
      </c>
      <c r="M49" s="5">
        <f t="shared" si="53"/>
        <v>0.62675291963595703</v>
      </c>
      <c r="N49" s="3">
        <f t="shared" si="8"/>
        <v>1.0195970930531966</v>
      </c>
      <c r="O49" s="5">
        <f t="shared" ref="O49:P49" si="54">O12</f>
        <v>98.512574998197294</v>
      </c>
      <c r="P49" s="5">
        <f t="shared" si="54"/>
        <v>0.43071010305480301</v>
      </c>
    </row>
    <row r="50" spans="1:16" x14ac:dyDescent="0.2">
      <c r="A50">
        <v>272</v>
      </c>
      <c r="B50" s="3">
        <f t="shared" si="0"/>
        <v>1.3904795130969854</v>
      </c>
      <c r="C50" s="5">
        <f t="shared" ref="C50:D50" si="55">C13</f>
        <v>157.362961769104</v>
      </c>
      <c r="D50" s="5">
        <f t="shared" si="55"/>
        <v>1.2356963544570501</v>
      </c>
      <c r="E50" s="3">
        <f t="shared" si="2"/>
        <v>1.0132255349589099</v>
      </c>
      <c r="F50" s="5">
        <f t="shared" ref="F50:G50" si="56">F13</f>
        <v>145.14119736861201</v>
      </c>
      <c r="G50" s="5">
        <f t="shared" si="56"/>
        <v>0.84864270259796903</v>
      </c>
      <c r="H50" s="3">
        <f t="shared" si="4"/>
        <v>1.1591777221624739</v>
      </c>
      <c r="I50" s="5">
        <f t="shared" ref="I50:J50" si="57">I13</f>
        <v>157.041812360145</v>
      </c>
      <c r="J50" s="5">
        <f t="shared" si="57"/>
        <v>0.88228086467879097</v>
      </c>
      <c r="K50" s="3">
        <f t="shared" si="6"/>
        <v>1</v>
      </c>
      <c r="L50" s="5">
        <f t="shared" ref="L50:M50" si="58">L13</f>
        <v>146.27786360687301</v>
      </c>
      <c r="M50" s="5">
        <f t="shared" si="58"/>
        <v>0.87262599676532804</v>
      </c>
      <c r="N50" s="3">
        <f t="shared" si="8"/>
        <v>1.0703537142479287</v>
      </c>
      <c r="O50" s="5">
        <f t="shared" ref="O50:P50" si="59">O13</f>
        <v>145.19166863488101</v>
      </c>
      <c r="P50" s="5">
        <f t="shared" si="59"/>
        <v>0.95877386540004805</v>
      </c>
    </row>
    <row r="51" spans="1:16" x14ac:dyDescent="0.2">
      <c r="A51">
        <v>279</v>
      </c>
      <c r="B51" s="3">
        <f t="shared" si="0"/>
        <v>2.4006983729622631</v>
      </c>
      <c r="C51" s="5">
        <f t="shared" ref="C51:D51" si="60">C14</f>
        <v>133.696472644805</v>
      </c>
      <c r="D51" s="5">
        <f t="shared" si="60"/>
        <v>1.13280076231696</v>
      </c>
      <c r="E51" s="3">
        <f t="shared" si="2"/>
        <v>1</v>
      </c>
      <c r="F51" s="5">
        <f t="shared" ref="F51:G51" si="61">F14</f>
        <v>91.364041413681093</v>
      </c>
      <c r="G51" s="5">
        <f t="shared" si="61"/>
        <v>0.57707656543660402</v>
      </c>
      <c r="H51" s="3">
        <f t="shared" si="4"/>
        <v>1.0536401742260582</v>
      </c>
      <c r="I51" s="5">
        <f t="shared" ref="I51:J51" si="62">I14</f>
        <v>95.272123847389395</v>
      </c>
      <c r="J51" s="5">
        <f t="shared" si="62"/>
        <v>0.55604603547107101</v>
      </c>
      <c r="K51" s="3">
        <f t="shared" si="6"/>
        <v>1.3913100012069215</v>
      </c>
      <c r="L51" s="5">
        <f t="shared" ref="L51:M51" si="63">L14</f>
        <v>112.963502496652</v>
      </c>
      <c r="M51" s="5">
        <f t="shared" si="63"/>
        <v>0.83170474184749099</v>
      </c>
      <c r="N51" s="3">
        <f t="shared" si="8"/>
        <v>1.427927706932534</v>
      </c>
      <c r="O51" s="5">
        <f t="shared" ref="O51:P51" si="64">O14</f>
        <v>112.443875047657</v>
      </c>
      <c r="P51" s="5">
        <f t="shared" si="64"/>
        <v>0.66868921477693799</v>
      </c>
    </row>
    <row r="52" spans="1:16" x14ac:dyDescent="0.2">
      <c r="A52">
        <v>709</v>
      </c>
      <c r="B52" s="3">
        <f t="shared" si="0"/>
        <v>1.8979321279426864</v>
      </c>
      <c r="C52" s="5">
        <f t="shared" ref="C52:D52" si="65">C15</f>
        <v>134.80108976364099</v>
      </c>
      <c r="D52" s="5">
        <f t="shared" si="65"/>
        <v>3.1152053720186899E-2</v>
      </c>
      <c r="E52" s="3">
        <f t="shared" si="2"/>
        <v>1.0972760957776981</v>
      </c>
      <c r="F52" s="5">
        <f t="shared" ref="F52:G52" si="66">F15</f>
        <v>183.67090019803399</v>
      </c>
      <c r="G52" s="5">
        <f t="shared" si="66"/>
        <v>1.2730766131148199E-2</v>
      </c>
      <c r="H52" s="3">
        <f t="shared" si="4"/>
        <v>4.139763359884328</v>
      </c>
      <c r="I52" s="5">
        <f t="shared" ref="I52:J52" si="67">I15</f>
        <v>177.94950019379499</v>
      </c>
      <c r="J52" s="5">
        <f t="shared" si="67"/>
        <v>6.5814031247583699E-2</v>
      </c>
      <c r="K52" s="3">
        <f t="shared" si="6"/>
        <v>1.0040150351313213</v>
      </c>
      <c r="L52" s="5">
        <f t="shared" ref="L52:M52" si="68">L15</f>
        <v>133.64044590978401</v>
      </c>
      <c r="M52" s="5">
        <f t="shared" si="68"/>
        <v>1.2530454908957199E-2</v>
      </c>
      <c r="N52" s="3">
        <f t="shared" si="8"/>
        <v>1</v>
      </c>
      <c r="O52" s="5">
        <f t="shared" ref="O52:P52" si="69">O15</f>
        <v>133.69992060333701</v>
      </c>
      <c r="P52" s="5">
        <f t="shared" si="69"/>
        <v>1.46334764254174E-2</v>
      </c>
    </row>
    <row r="53" spans="1:16" x14ac:dyDescent="0.2">
      <c r="A53">
        <v>712</v>
      </c>
      <c r="B53" s="3">
        <f t="shared" si="0"/>
        <v>1</v>
      </c>
      <c r="C53" s="5">
        <f t="shared" ref="C53:D53" si="70">C16</f>
        <v>134.191668033599</v>
      </c>
      <c r="D53" s="5">
        <f t="shared" si="70"/>
        <v>0.55108597521714697</v>
      </c>
      <c r="E53" s="3">
        <f t="shared" si="2"/>
        <v>1.1860167185064063</v>
      </c>
      <c r="F53" s="5">
        <f t="shared" ref="F53:G53" si="71">F16</f>
        <v>129.52510133865599</v>
      </c>
      <c r="G53" s="5">
        <f t="shared" si="71"/>
        <v>0.66111218449446796</v>
      </c>
      <c r="H53" s="3">
        <f t="shared" si="4"/>
        <v>1.1291667648156967</v>
      </c>
      <c r="I53" s="5">
        <f t="shared" ref="I53:J53" si="72">I16</f>
        <v>128.766056345647</v>
      </c>
      <c r="J53" s="5">
        <f t="shared" si="72"/>
        <v>0.671995340031319</v>
      </c>
      <c r="K53" s="3">
        <f t="shared" si="6"/>
        <v>1.390785443343771</v>
      </c>
      <c r="L53" s="5">
        <f t="shared" ref="L53:M53" si="73">L16</f>
        <v>134.78297209591801</v>
      </c>
      <c r="M53" s="5">
        <f t="shared" si="73"/>
        <v>0.91383820299829899</v>
      </c>
      <c r="N53" s="3">
        <f t="shared" si="8"/>
        <v>1.3508549661741949</v>
      </c>
      <c r="O53" s="5">
        <f t="shared" ref="O53:P53" si="74">O16</f>
        <v>161.68049296661999</v>
      </c>
      <c r="P53" s="5">
        <f t="shared" si="74"/>
        <v>0.60556982721901997</v>
      </c>
    </row>
    <row r="54" spans="1:16" x14ac:dyDescent="0.2">
      <c r="A54">
        <v>714</v>
      </c>
      <c r="B54" s="3">
        <f t="shared" si="0"/>
        <v>4.8791338302387546</v>
      </c>
      <c r="C54" s="5">
        <f t="shared" ref="C54:D54" si="75">C17</f>
        <v>164.367449283599</v>
      </c>
      <c r="D54" s="5">
        <f t="shared" si="75"/>
        <v>0.98145934576266602</v>
      </c>
      <c r="E54" s="3">
        <f t="shared" si="2"/>
        <v>1</v>
      </c>
      <c r="F54" s="5">
        <f t="shared" ref="F54:G54" si="76">F17</f>
        <v>115.85790890621099</v>
      </c>
      <c r="G54" s="5">
        <f t="shared" si="76"/>
        <v>0.27313364596908402</v>
      </c>
      <c r="H54" s="3">
        <f t="shared" si="4"/>
        <v>1.5817020099216947</v>
      </c>
      <c r="I54" s="5">
        <f t="shared" ref="I54:J54" si="77">I17</f>
        <v>145.365565728419</v>
      </c>
      <c r="J54" s="5">
        <f t="shared" si="77"/>
        <v>0.46095488346942598</v>
      </c>
      <c r="K54" s="3">
        <f t="shared" si="6"/>
        <v>1.0315977543535415</v>
      </c>
      <c r="L54" s="5">
        <f t="shared" ref="L54:M54" si="78">L17</f>
        <v>145.88925966256099</v>
      </c>
      <c r="M54" s="5">
        <f t="shared" si="78"/>
        <v>0.23077672169732399</v>
      </c>
      <c r="N54" s="3">
        <f t="shared" si="8"/>
        <v>1.2207842581391399</v>
      </c>
      <c r="O54" s="5">
        <f t="shared" ref="O54:P54" si="79">O17</f>
        <v>185.36859880478301</v>
      </c>
      <c r="P54" s="5">
        <f t="shared" si="79"/>
        <v>0.31005020677430301</v>
      </c>
    </row>
    <row r="55" spans="1:16" x14ac:dyDescent="0.2">
      <c r="A55">
        <v>722</v>
      </c>
      <c r="B55" s="3">
        <f t="shared" si="0"/>
        <v>1.6668658789385995</v>
      </c>
      <c r="C55" s="5">
        <f t="shared" ref="C55:D55" si="80">C18</f>
        <v>135.48027276992701</v>
      </c>
      <c r="D55" s="5">
        <f t="shared" si="80"/>
        <v>1.06317361525635</v>
      </c>
      <c r="E55" s="3">
        <f t="shared" si="2"/>
        <v>1.2747064155288927</v>
      </c>
      <c r="F55" s="5">
        <f t="shared" ref="F55:G55" si="81">F18</f>
        <v>119.58094322038301</v>
      </c>
      <c r="G55" s="5">
        <f t="shared" si="81"/>
        <v>0.83321798769566302</v>
      </c>
      <c r="H55" s="3">
        <f t="shared" si="4"/>
        <v>1</v>
      </c>
      <c r="I55" s="5">
        <f t="shared" ref="I55:J55" si="82">I18</f>
        <v>100.544643156009</v>
      </c>
      <c r="J55" s="5">
        <f t="shared" si="82"/>
        <v>0.58566121460054599</v>
      </c>
      <c r="K55" s="3">
        <f t="shared" si="6"/>
        <v>1.1670942269770146</v>
      </c>
      <c r="L55" s="5">
        <f t="shared" ref="L55:M55" si="83">L18</f>
        <v>117.46949438668599</v>
      </c>
      <c r="M55" s="5">
        <f t="shared" si="83"/>
        <v>0.73039980912964897</v>
      </c>
      <c r="N55" s="3">
        <f t="shared" si="8"/>
        <v>1.2180355339326876</v>
      </c>
      <c r="O55" s="5">
        <f t="shared" ref="O55:P55" si="84">O18</f>
        <v>120.281002727472</v>
      </c>
      <c r="P55" s="5">
        <f t="shared" si="84"/>
        <v>0.81011680337839598</v>
      </c>
    </row>
    <row r="56" spans="1:16" x14ac:dyDescent="0.2">
      <c r="A56">
        <v>724</v>
      </c>
      <c r="B56" s="3">
        <f t="shared" si="0"/>
        <v>1.3037948574239966</v>
      </c>
      <c r="C56" s="5">
        <f t="shared" ref="C56:D56" si="85">C19</f>
        <v>74.0672349929809</v>
      </c>
      <c r="D56" s="5">
        <f t="shared" si="85"/>
        <v>0.92734945003761504</v>
      </c>
      <c r="E56" s="3">
        <f t="shared" si="2"/>
        <v>1.0946659472188454</v>
      </c>
      <c r="F56" s="5">
        <f t="shared" ref="F56:G56" si="86">F19</f>
        <v>62.0953075805023</v>
      </c>
      <c r="G56" s="5">
        <f t="shared" si="86"/>
        <v>0.76970395255276502</v>
      </c>
      <c r="H56" s="3">
        <f t="shared" si="4"/>
        <v>1</v>
      </c>
      <c r="I56" s="5">
        <f t="shared" ref="I56:J56" si="87">I19</f>
        <v>58.735664649768196</v>
      </c>
      <c r="J56" s="5">
        <f t="shared" si="87"/>
        <v>0.69671824795844906</v>
      </c>
      <c r="K56" s="3">
        <f t="shared" si="6"/>
        <v>1.1291808345873613</v>
      </c>
      <c r="L56" s="5">
        <f t="shared" ref="L56:M56" si="88">L19</f>
        <v>65.629151208212804</v>
      </c>
      <c r="M56" s="5">
        <f t="shared" si="88"/>
        <v>0.83990944513652699</v>
      </c>
      <c r="N56" s="3">
        <f t="shared" si="8"/>
        <v>1.1552943580269577</v>
      </c>
      <c r="O56" s="5">
        <f t="shared" ref="O56:P56" si="89">O19</f>
        <v>62.087543434496602</v>
      </c>
      <c r="P56" s="5">
        <f t="shared" si="89"/>
        <v>0.70010830615815101</v>
      </c>
    </row>
    <row r="57" spans="1:16" x14ac:dyDescent="0.2">
      <c r="A57">
        <v>749</v>
      </c>
      <c r="B57" s="3">
        <f t="shared" si="0"/>
        <v>3.1224862956170849</v>
      </c>
      <c r="C57" s="5">
        <f t="shared" ref="C57:D57" si="90">C20</f>
        <v>168.69330406188899</v>
      </c>
      <c r="D57" s="5">
        <f t="shared" si="90"/>
        <v>1.9924870522240099</v>
      </c>
      <c r="E57" s="3">
        <f t="shared" si="2"/>
        <v>1</v>
      </c>
      <c r="F57" s="5">
        <f t="shared" ref="F57:G57" si="91">F20</f>
        <v>104.79200705662301</v>
      </c>
      <c r="G57" s="5">
        <f t="shared" si="91"/>
        <v>0.67526558216079302</v>
      </c>
      <c r="H57" s="3">
        <f t="shared" si="4"/>
        <v>1.0593757641547121</v>
      </c>
      <c r="I57" s="5">
        <f t="shared" ref="I57:J57" si="92">I20</f>
        <v>113.51251566210099</v>
      </c>
      <c r="J57" s="5">
        <f t="shared" si="92"/>
        <v>0.77998313648719697</v>
      </c>
      <c r="K57" s="3">
        <f t="shared" si="6"/>
        <v>1.3883029177466983</v>
      </c>
      <c r="L57" s="5">
        <f t="shared" ref="L57:M57" si="93">L20</f>
        <v>132.44233614375901</v>
      </c>
      <c r="M57" s="5">
        <f t="shared" si="93"/>
        <v>1.2178348567553601</v>
      </c>
      <c r="N57" s="3">
        <f t="shared" si="8"/>
        <v>1.8376896439699812</v>
      </c>
      <c r="O57" s="5">
        <f t="shared" ref="O57:P57" si="94">O20</f>
        <v>141.76018666974801</v>
      </c>
      <c r="P57" s="5">
        <f t="shared" si="94"/>
        <v>1.2286513108135899</v>
      </c>
    </row>
    <row r="58" spans="1:16" x14ac:dyDescent="0.2">
      <c r="A58">
        <v>777</v>
      </c>
      <c r="B58" s="3">
        <f t="shared" si="0"/>
        <v>1.8165762416216913</v>
      </c>
      <c r="C58" s="5">
        <f t="shared" ref="C58:D58" si="95">C21</f>
        <v>174.99520778656</v>
      </c>
      <c r="D58" s="5">
        <f t="shared" si="95"/>
        <v>1.2103379562397001</v>
      </c>
      <c r="E58" s="3">
        <f t="shared" si="2"/>
        <v>1.0196007567829362</v>
      </c>
      <c r="F58" s="5">
        <f t="shared" ref="F58:G58" si="96">F21</f>
        <v>148.45549180987899</v>
      </c>
      <c r="G58" s="5">
        <f t="shared" si="96"/>
        <v>0.83128728193778301</v>
      </c>
      <c r="H58" s="3">
        <f t="shared" si="4"/>
        <v>1.1295927164444584</v>
      </c>
      <c r="I58" s="5">
        <f t="shared" ref="I58:J58" si="97">I21</f>
        <v>157.613885213494</v>
      </c>
      <c r="J58" s="5">
        <f t="shared" si="97"/>
        <v>0.93536722219782398</v>
      </c>
      <c r="K58" s="3">
        <f t="shared" si="6"/>
        <v>1</v>
      </c>
      <c r="L58" s="5">
        <f t="shared" ref="L58:M58" si="98">L21</f>
        <v>151.71018053250199</v>
      </c>
      <c r="M58" s="5">
        <f t="shared" si="98"/>
        <v>0.76107200559490096</v>
      </c>
      <c r="N58" s="3">
        <f t="shared" si="8"/>
        <v>1.0607856512176168</v>
      </c>
      <c r="O58" s="5">
        <f t="shared" ref="O58:P58" si="99">O21</f>
        <v>155.73893126630799</v>
      </c>
      <c r="P58" s="5">
        <f t="shared" si="99"/>
        <v>0.54528181278446997</v>
      </c>
    </row>
    <row r="59" spans="1:16" x14ac:dyDescent="0.2">
      <c r="A59">
        <v>782</v>
      </c>
      <c r="B59" s="3">
        <f t="shared" si="0"/>
        <v>1.0698236206323932</v>
      </c>
      <c r="C59" s="5">
        <f t="shared" ref="C59:D59" si="100">C22</f>
        <v>130.73048591613701</v>
      </c>
      <c r="D59" s="5">
        <f t="shared" si="100"/>
        <v>0.76650779688461601</v>
      </c>
      <c r="E59" s="3">
        <f t="shared" si="2"/>
        <v>1.0455164230945189</v>
      </c>
      <c r="F59" s="5">
        <f t="shared" ref="F59:G59" si="101">F22</f>
        <v>117.390931991899</v>
      </c>
      <c r="G59" s="5">
        <f t="shared" si="101"/>
        <v>0.705667132586836</v>
      </c>
      <c r="H59" s="3">
        <f t="shared" si="4"/>
        <v>1.1120929682686975</v>
      </c>
      <c r="I59" s="5">
        <f t="shared" ref="I59:J59" si="102">I22</f>
        <v>118.811533836942</v>
      </c>
      <c r="J59" s="5">
        <f t="shared" si="102"/>
        <v>0.77721107715722904</v>
      </c>
      <c r="K59" s="3">
        <f t="shared" si="6"/>
        <v>1.0199213535875107</v>
      </c>
      <c r="L59" s="5">
        <f t="shared" ref="L59:M59" si="103">L22</f>
        <v>114.271877823926</v>
      </c>
      <c r="M59" s="5">
        <f t="shared" si="103"/>
        <v>0.72251098081734499</v>
      </c>
      <c r="N59" s="3">
        <f t="shared" si="8"/>
        <v>1</v>
      </c>
      <c r="O59" s="5">
        <f t="shared" ref="O59:P59" si="104">O22</f>
        <v>118.181226662117</v>
      </c>
      <c r="P59" s="5">
        <f t="shared" si="104"/>
        <v>0.74114815045581905</v>
      </c>
    </row>
    <row r="60" spans="1:16" x14ac:dyDescent="0.2">
      <c r="A60">
        <v>792</v>
      </c>
      <c r="B60" s="3">
        <f t="shared" si="0"/>
        <v>1.2505177717331664</v>
      </c>
      <c r="C60" s="5">
        <f t="shared" ref="C60:D60" si="105">C23</f>
        <v>101.574432849884</v>
      </c>
      <c r="D60" s="5">
        <f t="shared" si="105"/>
        <v>0.97823576803773604</v>
      </c>
      <c r="E60" s="3">
        <f t="shared" si="2"/>
        <v>1</v>
      </c>
      <c r="F60" s="5">
        <f t="shared" ref="F60:G60" si="106">F23</f>
        <v>95.898137138436098</v>
      </c>
      <c r="G60" s="5">
        <f t="shared" si="106"/>
        <v>0.84458714262376</v>
      </c>
      <c r="H60" s="3">
        <f t="shared" si="4"/>
        <v>1.0102938408835074</v>
      </c>
      <c r="I60" s="5">
        <f t="shared" ref="I60:J60" si="107">I23</f>
        <v>98.417401314670897</v>
      </c>
      <c r="J60" s="5">
        <f t="shared" si="107"/>
        <v>0.82262657393538297</v>
      </c>
      <c r="K60" s="3">
        <f t="shared" si="6"/>
        <v>1.1097128361977768</v>
      </c>
      <c r="L60" s="5">
        <f t="shared" ref="L60:M60" si="108">L23</f>
        <v>98.610314772258604</v>
      </c>
      <c r="M60" s="5">
        <f t="shared" si="108"/>
        <v>0.96157457967972704</v>
      </c>
      <c r="N60" s="3">
        <f t="shared" si="8"/>
        <v>1.0695988239689811</v>
      </c>
      <c r="O60" s="5">
        <f t="shared" ref="O60:P60" si="109">O23</f>
        <v>100.039605960248</v>
      </c>
      <c r="P60" s="5">
        <f t="shared" si="109"/>
        <v>0.81996775171230696</v>
      </c>
    </row>
    <row r="61" spans="1:16" x14ac:dyDescent="0.2">
      <c r="A61">
        <v>804</v>
      </c>
      <c r="B61" s="3">
        <f t="shared" si="0"/>
        <v>1.0785539264068003</v>
      </c>
      <c r="C61" s="5">
        <f t="shared" ref="C61:D61" si="110">C24</f>
        <v>154.46199178695599</v>
      </c>
      <c r="D61" s="5">
        <f t="shared" si="110"/>
        <v>0.72336494468430601</v>
      </c>
      <c r="E61" s="3">
        <f t="shared" si="2"/>
        <v>1.1547225767482832</v>
      </c>
      <c r="F61" s="5">
        <f t="shared" ref="F61:G61" si="111">F24</f>
        <v>121.618919795236</v>
      </c>
      <c r="G61" s="5">
        <f t="shared" si="111"/>
        <v>0.80897774369873499</v>
      </c>
      <c r="H61" s="3">
        <f t="shared" si="4"/>
        <v>1</v>
      </c>
      <c r="I61" s="5">
        <f t="shared" ref="I61:J61" si="112">I24</f>
        <v>125.881076170452</v>
      </c>
      <c r="J61" s="5">
        <f t="shared" si="112"/>
        <v>0.66639479860350004</v>
      </c>
      <c r="K61" s="3">
        <f t="shared" si="6"/>
        <v>1.1610362133273007</v>
      </c>
      <c r="L61" s="5">
        <f t="shared" ref="L61:M61" si="113">L24</f>
        <v>138.05503472176301</v>
      </c>
      <c r="M61" s="5">
        <f t="shared" si="113"/>
        <v>0.79913713750202497</v>
      </c>
      <c r="N61" s="3">
        <f t="shared" si="8"/>
        <v>1.0763756957006843</v>
      </c>
      <c r="O61" s="5">
        <f t="shared" ref="O61:P61" si="114">O24</f>
        <v>133.01142892075401</v>
      </c>
      <c r="P61" s="5">
        <f t="shared" si="114"/>
        <v>0.75714802157314298</v>
      </c>
    </row>
    <row r="62" spans="1:16" x14ac:dyDescent="0.2">
      <c r="A62">
        <v>812</v>
      </c>
      <c r="B62" s="3">
        <f t="shared" si="0"/>
        <v>1.2246906557700421</v>
      </c>
      <c r="C62" s="5">
        <f t="shared" ref="C62:D62" si="115">C25</f>
        <v>95.009922981262207</v>
      </c>
      <c r="D62" s="5">
        <f t="shared" si="115"/>
        <v>2.57868167046496</v>
      </c>
      <c r="E62" s="3">
        <f t="shared" si="2"/>
        <v>1.0265708257069672</v>
      </c>
      <c r="F62" s="5">
        <f t="shared" ref="F62:G62" si="116">F25</f>
        <v>87.441142348662893</v>
      </c>
      <c r="G62" s="5">
        <f t="shared" si="116"/>
        <v>1.9372161433797701</v>
      </c>
      <c r="H62" s="3">
        <f t="shared" si="4"/>
        <v>1.0288787623853151</v>
      </c>
      <c r="I62" s="5">
        <f t="shared" ref="I62:J62" si="117">I25</f>
        <v>93.807086551800595</v>
      </c>
      <c r="J62" s="5">
        <f t="shared" si="117"/>
        <v>2.10181991159445</v>
      </c>
      <c r="K62" s="3">
        <f t="shared" si="6"/>
        <v>1.0012543854500333</v>
      </c>
      <c r="L62" s="5">
        <f t="shared" ref="L62:M62" si="118">L25</f>
        <v>92.614731606740193</v>
      </c>
      <c r="M62" s="5">
        <f t="shared" si="118"/>
        <v>2.21347950086151</v>
      </c>
      <c r="N62" s="3">
        <f t="shared" si="8"/>
        <v>1</v>
      </c>
      <c r="O62" s="5">
        <f t="shared" ref="O62:P62" si="119">O25</f>
        <v>89.678247908721104</v>
      </c>
      <c r="P62" s="5">
        <f t="shared" si="119"/>
        <v>1.9540391972375899</v>
      </c>
    </row>
    <row r="63" spans="1:16" x14ac:dyDescent="0.2">
      <c r="A63">
        <v>816</v>
      </c>
      <c r="B63" s="3">
        <f t="shared" si="0"/>
        <v>1.6708462081994906</v>
      </c>
      <c r="C63" s="5">
        <f t="shared" ref="C63:D63" si="120">C26</f>
        <v>176.527047157287</v>
      </c>
      <c r="D63" s="5">
        <f t="shared" si="120"/>
        <v>0.34765870767978602</v>
      </c>
      <c r="E63" s="3">
        <f t="shared" si="2"/>
        <v>1.7728061523279861</v>
      </c>
      <c r="F63" s="5">
        <f t="shared" ref="F63:G63" si="121">F26</f>
        <v>163.98991841072501</v>
      </c>
      <c r="G63" s="5">
        <f t="shared" si="121"/>
        <v>0.36798252511766899</v>
      </c>
      <c r="H63" s="3">
        <f t="shared" si="4"/>
        <v>2.0633640911509414</v>
      </c>
      <c r="I63" s="5">
        <f t="shared" ref="I63:J63" si="122">I26</f>
        <v>177.05948761545801</v>
      </c>
      <c r="J63" s="5">
        <f t="shared" si="122"/>
        <v>0.50470751178130502</v>
      </c>
      <c r="K63" s="3">
        <f t="shared" si="6"/>
        <v>1.2287300729398674</v>
      </c>
      <c r="L63" s="5">
        <f t="shared" ref="L63:M63" si="123">L26</f>
        <v>176.55778495062501</v>
      </c>
      <c r="M63" s="5">
        <f t="shared" si="123"/>
        <v>0.299288739036151</v>
      </c>
      <c r="N63" s="3">
        <f t="shared" si="8"/>
        <v>1</v>
      </c>
      <c r="O63" s="5">
        <f t="shared" ref="O63:P63" si="124">O26</f>
        <v>154.71903728209699</v>
      </c>
      <c r="P63" s="5">
        <f t="shared" si="124"/>
        <v>0.22609015111503999</v>
      </c>
    </row>
    <row r="64" spans="1:16" x14ac:dyDescent="0.2">
      <c r="A64">
        <v>822</v>
      </c>
      <c r="B64" s="3">
        <f t="shared" si="0"/>
        <v>1.4476059426227561</v>
      </c>
      <c r="C64" s="5">
        <f t="shared" ref="C64:D64" si="125">C27</f>
        <v>134.76825952529899</v>
      </c>
      <c r="D64" s="5">
        <f t="shared" si="125"/>
        <v>0.97202408556897602</v>
      </c>
      <c r="E64" s="3">
        <f t="shared" si="2"/>
        <v>1.2337191450876059</v>
      </c>
      <c r="F64" s="5">
        <f t="shared" ref="F64:G64" si="126">F27</f>
        <v>117.853039235164</v>
      </c>
      <c r="G64" s="5">
        <f t="shared" si="126"/>
        <v>0.73394217883056201</v>
      </c>
      <c r="H64" s="3">
        <f t="shared" si="4"/>
        <v>1.0056677952180222</v>
      </c>
      <c r="I64" s="5">
        <f t="shared" ref="I64:J64" si="127">I27</f>
        <v>113.520987540883</v>
      </c>
      <c r="J64" s="5">
        <f t="shared" si="127"/>
        <v>0.63560966315794398</v>
      </c>
      <c r="K64" s="3">
        <f t="shared" si="6"/>
        <v>1.3270927245779409</v>
      </c>
      <c r="L64" s="5">
        <f t="shared" ref="L64:M64" si="128">L27</f>
        <v>119.315553016159</v>
      </c>
      <c r="M64" s="5">
        <f t="shared" si="128"/>
        <v>0.89971301476141297</v>
      </c>
      <c r="N64" s="3">
        <f t="shared" si="8"/>
        <v>1</v>
      </c>
      <c r="O64" s="5">
        <f t="shared" ref="O64:P64" si="129">O27</f>
        <v>125.591424242305</v>
      </c>
      <c r="P64" s="5">
        <f t="shared" si="129"/>
        <v>0.64374662728730003</v>
      </c>
    </row>
    <row r="65" spans="1:16" x14ac:dyDescent="0.2">
      <c r="A65">
        <v>827</v>
      </c>
      <c r="B65" s="3">
        <f t="shared" si="0"/>
        <v>1.0572837005204849</v>
      </c>
      <c r="C65" s="5">
        <f t="shared" ref="C65:D65" si="130">C28</f>
        <v>121.53044939041099</v>
      </c>
      <c r="D65" s="5">
        <f t="shared" si="130"/>
        <v>1.10178124163654</v>
      </c>
      <c r="E65" s="3">
        <f t="shared" si="2"/>
        <v>1.1269810717486501</v>
      </c>
      <c r="F65" s="5">
        <f t="shared" ref="F65:G65" si="131">F28</f>
        <v>103.70931982881601</v>
      </c>
      <c r="G65" s="5">
        <f t="shared" si="131"/>
        <v>1.34332111269333</v>
      </c>
      <c r="H65" s="3">
        <f t="shared" si="4"/>
        <v>1</v>
      </c>
      <c r="I65" s="5">
        <f t="shared" ref="I65:J65" si="132">I28</f>
        <v>98.236694831448006</v>
      </c>
      <c r="J65" s="5">
        <f t="shared" si="132"/>
        <v>1.15398322559079</v>
      </c>
      <c r="K65" s="3">
        <f t="shared" si="6"/>
        <v>1.1337054930714634</v>
      </c>
      <c r="L65" s="5">
        <f t="shared" ref="L65:M65" si="133">L28</f>
        <v>116.942569941253</v>
      </c>
      <c r="M65" s="5">
        <f t="shared" si="133"/>
        <v>1.3276387943040799</v>
      </c>
      <c r="N65" s="3">
        <f t="shared" si="8"/>
        <v>1.0437824006387815</v>
      </c>
      <c r="O65" s="5">
        <f t="shared" ref="O65:P65" si="134">O28</f>
        <v>102.889058954769</v>
      </c>
      <c r="P65" s="5">
        <f t="shared" si="134"/>
        <v>1.1030756765682901</v>
      </c>
    </row>
    <row r="66" spans="1:16" x14ac:dyDescent="0.2">
      <c r="A66">
        <v>838</v>
      </c>
      <c r="B66" s="3">
        <f t="shared" si="0"/>
        <v>1.7799043357161997</v>
      </c>
      <c r="C66" s="5">
        <f t="shared" ref="C66:D66" si="135">C29</f>
        <v>112.047517299652</v>
      </c>
      <c r="D66" s="5">
        <f t="shared" si="135"/>
        <v>1.04529813003134</v>
      </c>
      <c r="E66" s="3">
        <f t="shared" si="2"/>
        <v>1.6023106365118867</v>
      </c>
      <c r="F66" s="5">
        <f t="shared" ref="F66:G66" si="136">F29</f>
        <v>96.573023574976304</v>
      </c>
      <c r="G66" s="5">
        <f t="shared" si="136"/>
        <v>1.0686986186384599</v>
      </c>
      <c r="H66" s="3">
        <f t="shared" si="4"/>
        <v>1.1335073345172824</v>
      </c>
      <c r="I66" s="5">
        <f t="shared" ref="I66:J66" si="137">I29</f>
        <v>80.247472316245094</v>
      </c>
      <c r="J66" s="5">
        <f t="shared" si="137"/>
        <v>0.72250793454315898</v>
      </c>
      <c r="K66" s="3">
        <f t="shared" si="6"/>
        <v>1.7840625143678899</v>
      </c>
      <c r="L66" s="5">
        <f t="shared" ref="L66:M66" si="138">L29</f>
        <v>94.573289288805796</v>
      </c>
      <c r="M66" s="5">
        <f t="shared" si="138"/>
        <v>1.08817193314216</v>
      </c>
      <c r="N66" s="3">
        <f t="shared" si="8"/>
        <v>1</v>
      </c>
      <c r="O66" s="5">
        <f t="shared" ref="O66:P66" si="139">O29</f>
        <v>75.375880031389897</v>
      </c>
      <c r="P66" s="5">
        <f t="shared" si="139"/>
        <v>0.63690597625821799</v>
      </c>
    </row>
    <row r="67" spans="1:16" x14ac:dyDescent="0.2">
      <c r="A67">
        <v>877</v>
      </c>
      <c r="B67" s="3">
        <f>B31/MIN($B31,$E31,$H31,$K31,$N31)</f>
        <v>1.3226928995132077</v>
      </c>
      <c r="C67" s="5">
        <f t="shared" ref="C67:D67" si="140">C31</f>
        <v>178.86962890625</v>
      </c>
      <c r="D67" s="5">
        <f t="shared" si="140"/>
        <v>0.75584041467357699</v>
      </c>
      <c r="E67" s="3">
        <f>E31/MIN($B31,$E31,$H31,$K31,$N31)</f>
        <v>1</v>
      </c>
      <c r="F67" s="5">
        <f t="shared" ref="F67:G67" si="141">F31</f>
        <v>166.113674015681</v>
      </c>
      <c r="G67" s="5">
        <f t="shared" si="141"/>
        <v>0.497582408090738</v>
      </c>
      <c r="H67" s="3">
        <f>H31/MIN($B31,$E31,$H31,$K31,$N31)</f>
        <v>1.0695811887487128</v>
      </c>
      <c r="I67" s="5">
        <f t="shared" ref="I67:J67" si="142">I31</f>
        <v>173.52577138525001</v>
      </c>
      <c r="J67" s="5">
        <f t="shared" si="142"/>
        <v>0.66805879183063299</v>
      </c>
      <c r="K67" s="3">
        <f>K31/MIN($B31,$E31,$H31,$K31,$N31)</f>
        <v>1.1375734144195842</v>
      </c>
      <c r="L67" s="5">
        <f t="shared" ref="L67:M67" si="143">L31</f>
        <v>169.87890216094999</v>
      </c>
      <c r="M67" s="5">
        <f t="shared" si="143"/>
        <v>0.79165565551045403</v>
      </c>
      <c r="N67" s="3">
        <f>N31/MIN($B31,$E31,$H31,$K31,$N31)</f>
        <v>1.0563401689989336</v>
      </c>
      <c r="O67" s="5">
        <f t="shared" ref="O67:P67" si="144">O31</f>
        <v>171.43447495992601</v>
      </c>
      <c r="P67" s="5">
        <f t="shared" si="144"/>
        <v>0.54067914301157305</v>
      </c>
    </row>
    <row r="68" spans="1:16" x14ac:dyDescent="0.2">
      <c r="A68">
        <v>888</v>
      </c>
      <c r="B68" s="3">
        <f>B32/MIN($B32,$E32,$H32,$K32,$N32)</f>
        <v>1</v>
      </c>
      <c r="C68" s="5">
        <f t="shared" ref="C68:D68" si="145">C32</f>
        <v>118.203914165496</v>
      </c>
      <c r="D68" s="5">
        <f t="shared" si="145"/>
        <v>0.49979628228985301</v>
      </c>
      <c r="E68" s="3">
        <f>E32/MIN($B32,$E32,$H32,$K32,$N32)</f>
        <v>1.2135840935074413</v>
      </c>
      <c r="F68" s="5">
        <f t="shared" ref="F68:G68" si="146">F32</f>
        <v>96.403316844402696</v>
      </c>
      <c r="G68" s="5">
        <f t="shared" si="146"/>
        <v>0.54947203951392798</v>
      </c>
      <c r="H68" s="3">
        <f>H32/MIN($B32,$E32,$H32,$K32,$N32)</f>
        <v>1.134187245109517</v>
      </c>
      <c r="I68" s="5">
        <f t="shared" ref="I68:J68" si="147">I32</f>
        <v>99.175175130378307</v>
      </c>
      <c r="J68" s="5">
        <f t="shared" si="147"/>
        <v>0.53777022546532305</v>
      </c>
      <c r="K68" s="3">
        <f>K32/MIN($B32,$E32,$H32,$K32,$N32)</f>
        <v>1.29090943922365</v>
      </c>
      <c r="L68" s="5">
        <f t="shared" ref="L68:M68" si="148">L32</f>
        <v>95.934760480025403</v>
      </c>
      <c r="M68" s="5">
        <f t="shared" si="148"/>
        <v>0.61065686932399799</v>
      </c>
      <c r="N68" s="3">
        <f>N32/MIN($B32,$E32,$H32,$K32,$N32)</f>
        <v>1.2645335533959565</v>
      </c>
      <c r="O68" s="5">
        <f t="shared" ref="O68:P68" si="149">O32</f>
        <v>114.78086685769701</v>
      </c>
      <c r="P68" s="5">
        <f t="shared" si="149"/>
        <v>0.49621194943416602</v>
      </c>
    </row>
    <row r="69" spans="1:16" x14ac:dyDescent="0.2">
      <c r="A69">
        <v>890</v>
      </c>
      <c r="B69" s="3">
        <f>B33/MIN($B33,$E33,$H33,$K33,$N33)</f>
        <v>1.3480281348020817</v>
      </c>
      <c r="C69" s="5">
        <f t="shared" ref="C69:D69" si="150">C33</f>
        <v>84.692066907882605</v>
      </c>
      <c r="D69" s="5">
        <f t="shared" si="150"/>
        <v>0.70837976272224201</v>
      </c>
      <c r="E69" s="3">
        <f>E33/MIN($B33,$E33,$H33,$K33,$N33)</f>
        <v>1.0971187899918011</v>
      </c>
      <c r="F69" s="5">
        <f t="shared" ref="F69:G69" si="151">F33</f>
        <v>62.753118508957797</v>
      </c>
      <c r="G69" s="5">
        <f t="shared" si="151"/>
        <v>0.48869321768125001</v>
      </c>
      <c r="H69" s="3">
        <f>H33/MIN($B33,$E33,$H33,$K33,$N33)</f>
        <v>1</v>
      </c>
      <c r="I69" s="5">
        <f t="shared" ref="I69:J69" si="152">I33</f>
        <v>56.774775499923003</v>
      </c>
      <c r="J69" s="5">
        <f t="shared" si="152"/>
        <v>0.50540514464170905</v>
      </c>
      <c r="K69" s="3">
        <f>K33/MIN($B33,$E33,$H33,$K33,$N33)</f>
        <v>1.3020584227721723</v>
      </c>
      <c r="L69" s="5">
        <f t="shared" ref="L69:M69" si="153">L33</f>
        <v>65.082728629146402</v>
      </c>
      <c r="M69" s="5">
        <f t="shared" si="153"/>
        <v>0.58716616194876703</v>
      </c>
      <c r="N69" s="3">
        <f>N33/MIN($B33,$E33,$H33,$K33,$N33)</f>
        <v>1.3805950734269807</v>
      </c>
      <c r="O69" s="5">
        <f t="shared" ref="O69:P69" si="154">O33</f>
        <v>88.554574333464004</v>
      </c>
      <c r="P69" s="5">
        <f t="shared" si="154"/>
        <v>0.63681122766624398</v>
      </c>
    </row>
    <row r="70" spans="1:16" ht="68" x14ac:dyDescent="0.2">
      <c r="A70" s="2" t="s">
        <v>81</v>
      </c>
      <c r="B70" s="3">
        <f>AVERAGE(B39:B69)</f>
        <v>1.6052752471808744</v>
      </c>
      <c r="C70">
        <f>AVERAGE(C39:C69)</f>
        <v>133.93118189227158</v>
      </c>
      <c r="D70">
        <f>AVERAGE(D39:D69)</f>
        <v>0.95388170498431613</v>
      </c>
      <c r="E70" s="3">
        <f>AVERAGE(E39:E69)</f>
        <v>1.1273975203579225</v>
      </c>
      <c r="F70">
        <f>AVERAGE(F39:F69)</f>
        <v>120.07873358685048</v>
      </c>
      <c r="G70">
        <f>AVERAGE(G39:G69)</f>
        <v>0.75134655118918225</v>
      </c>
      <c r="H70" s="3">
        <f>AVERAGE(H39:H69)</f>
        <v>1.2349631710763211</v>
      </c>
      <c r="I70">
        <f>AVERAGE(I39:I69)</f>
        <v>120.85451282168543</v>
      </c>
      <c r="J70">
        <f>AVERAGE(J39:J69)</f>
        <v>0.75842011803744658</v>
      </c>
      <c r="K70" s="3">
        <f>AVERAGE(K39:K69)</f>
        <v>1.2530330600136836</v>
      </c>
      <c r="L70">
        <f>AVERAGE(L39:L69)</f>
        <v>123.5751636049486</v>
      </c>
      <c r="M70">
        <f>AVERAGE(M39:M69)</f>
        <v>0.86339091365776466</v>
      </c>
      <c r="N70" s="3">
        <f>AVERAGE(N39:N69)</f>
        <v>1.1459932061051108</v>
      </c>
      <c r="O70">
        <f>AVERAGE(O39:O69)</f>
        <v>123.81524140139912</v>
      </c>
      <c r="P70">
        <f>AVERAGE(P39:P69)</f>
        <v>0.70908585497597854</v>
      </c>
    </row>
  </sheetData>
  <pageMargins left="0.75" right="0.75" top="1" bottom="1" header="0.5" footer="0.5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46F4-025A-6246-9FDA-DE6254F9FF59}">
  <dimension ref="A4:P55"/>
  <sheetViews>
    <sheetView topLeftCell="A4" zoomScale="89" workbookViewId="0">
      <selection activeCell="T35" sqref="T35"/>
    </sheetView>
  </sheetViews>
  <sheetFormatPr baseColWidth="10" defaultRowHeight="16" x14ac:dyDescent="0.2"/>
  <cols>
    <col min="1" max="1" width="20.6640625" customWidth="1"/>
  </cols>
  <sheetData>
    <row r="4" spans="1:16" x14ac:dyDescent="0.2">
      <c r="A4" s="15" t="s">
        <v>85</v>
      </c>
      <c r="B4" s="3" t="s">
        <v>1</v>
      </c>
      <c r="C4" t="s">
        <v>2</v>
      </c>
      <c r="D4" t="s">
        <v>3</v>
      </c>
      <c r="E4" s="3" t="s">
        <v>4</v>
      </c>
      <c r="F4" t="s">
        <v>5</v>
      </c>
      <c r="G4" t="s">
        <v>6</v>
      </c>
      <c r="H4" s="3" t="s">
        <v>7</v>
      </c>
      <c r="I4" t="s">
        <v>8</v>
      </c>
      <c r="J4" t="s">
        <v>9</v>
      </c>
      <c r="K4" s="3" t="s">
        <v>10</v>
      </c>
      <c r="L4" t="s">
        <v>11</v>
      </c>
      <c r="M4" t="s">
        <v>12</v>
      </c>
      <c r="N4" s="3" t="s">
        <v>13</v>
      </c>
      <c r="O4" t="s">
        <v>14</v>
      </c>
      <c r="P4" t="s">
        <v>15</v>
      </c>
    </row>
    <row r="5" spans="1:16" x14ac:dyDescent="0.2">
      <c r="A5">
        <v>804</v>
      </c>
      <c r="B5" s="3">
        <v>1.3570382502864342</v>
      </c>
      <c r="C5">
        <v>143.35021972656199</v>
      </c>
      <c r="D5">
        <v>0.78484598890388901</v>
      </c>
      <c r="E5" s="3">
        <v>1.259735153616911</v>
      </c>
      <c r="F5">
        <v>121.618919795236</v>
      </c>
      <c r="G5">
        <v>0.80897774369873499</v>
      </c>
      <c r="H5" s="3">
        <v>1.0052167960462461</v>
      </c>
      <c r="I5">
        <v>129.29261014604899</v>
      </c>
      <c r="J5">
        <v>0.63572780391582295</v>
      </c>
      <c r="K5" s="3">
        <v>1.5124421757510942</v>
      </c>
      <c r="L5">
        <v>131.85095444223799</v>
      </c>
      <c r="M5">
        <v>0.91566371570687499</v>
      </c>
      <c r="N5" s="3">
        <v>1</v>
      </c>
      <c r="O5">
        <v>128.944763734265</v>
      </c>
      <c r="P5">
        <v>0.57849681307863099</v>
      </c>
    </row>
    <row r="6" spans="1:16" x14ac:dyDescent="0.2">
      <c r="A6">
        <v>812</v>
      </c>
      <c r="B6" s="3">
        <v>1.1047223137079669</v>
      </c>
      <c r="C6">
        <v>97.155702114105196</v>
      </c>
      <c r="D6">
        <v>2.0579820084032399</v>
      </c>
      <c r="E6" s="3">
        <v>1.0807655897148321</v>
      </c>
      <c r="F6">
        <v>87.441142348662893</v>
      </c>
      <c r="G6">
        <v>1.9372161433797701</v>
      </c>
      <c r="H6" s="3">
        <v>1</v>
      </c>
      <c r="I6">
        <v>85.605076273627603</v>
      </c>
      <c r="J6">
        <v>1.77743888020033</v>
      </c>
      <c r="K6" s="3">
        <v>1.0774624450417207</v>
      </c>
      <c r="L6">
        <v>96.064458214078897</v>
      </c>
      <c r="M6">
        <v>2.3638414132434198</v>
      </c>
      <c r="N6" s="3">
        <v>1.0499071334654377</v>
      </c>
      <c r="O6">
        <v>87.483372426428005</v>
      </c>
      <c r="P6">
        <v>1.90834850434185</v>
      </c>
    </row>
    <row r="7" spans="1:16" x14ac:dyDescent="0.2">
      <c r="A7">
        <v>114</v>
      </c>
      <c r="B7" s="3">
        <v>1.3242157953284868</v>
      </c>
      <c r="C7">
        <v>67.844569683074894</v>
      </c>
      <c r="D7">
        <v>0.78647231442194498</v>
      </c>
      <c r="E7" s="3">
        <v>1.2614014743060444</v>
      </c>
      <c r="F7">
        <v>52.295170773032503</v>
      </c>
      <c r="G7">
        <v>0.6589834757659</v>
      </c>
      <c r="H7" s="3">
        <v>1.1041050985254492</v>
      </c>
      <c r="I7">
        <v>48.9013336812529</v>
      </c>
      <c r="J7">
        <v>0.61490637426816597</v>
      </c>
      <c r="K7" s="3">
        <v>1</v>
      </c>
      <c r="L7">
        <v>50.106935101515496</v>
      </c>
      <c r="M7">
        <v>0.59115534638866196</v>
      </c>
      <c r="N7" s="3">
        <v>1.0530636719133473</v>
      </c>
      <c r="O7">
        <v>48.966605532678599</v>
      </c>
      <c r="P7">
        <v>0.57740948272762305</v>
      </c>
    </row>
    <row r="8" spans="1:16" x14ac:dyDescent="0.2">
      <c r="A8">
        <v>195</v>
      </c>
      <c r="B8" s="3">
        <v>1.3099268473997812</v>
      </c>
      <c r="C8">
        <v>120.31148672103799</v>
      </c>
      <c r="D8">
        <v>0.73327651488094203</v>
      </c>
      <c r="E8" s="3">
        <v>1</v>
      </c>
      <c r="F8">
        <v>90.783409211563495</v>
      </c>
      <c r="G8">
        <v>0.52772235836524095</v>
      </c>
      <c r="H8" s="3">
        <v>1.0907995182641761</v>
      </c>
      <c r="I8">
        <v>98.165179717241102</v>
      </c>
      <c r="J8">
        <v>0.63989971238194399</v>
      </c>
      <c r="K8" s="3">
        <v>1.1024262089813905</v>
      </c>
      <c r="L8">
        <v>96.547170346374799</v>
      </c>
      <c r="M8">
        <v>0.59610716705121103</v>
      </c>
      <c r="N8" s="3">
        <v>1.0950863573471052</v>
      </c>
      <c r="O8">
        <v>106.405468102569</v>
      </c>
      <c r="P8">
        <v>0.54061099711667504</v>
      </c>
    </row>
    <row r="9" spans="1:16" x14ac:dyDescent="0.2">
      <c r="A9">
        <v>722</v>
      </c>
      <c r="B9" s="3">
        <v>1.418961273587463</v>
      </c>
      <c r="C9">
        <v>121.367502212524</v>
      </c>
      <c r="D9">
        <v>0.91701286113846803</v>
      </c>
      <c r="E9" s="3">
        <v>1.2326538654178569</v>
      </c>
      <c r="F9">
        <v>119.58094322038301</v>
      </c>
      <c r="G9">
        <v>0.83321798769566302</v>
      </c>
      <c r="H9" s="3">
        <v>1</v>
      </c>
      <c r="I9">
        <v>108.16491433978599</v>
      </c>
      <c r="J9">
        <v>0.62391185121609205</v>
      </c>
      <c r="K9" s="3">
        <v>1.0373506616451957</v>
      </c>
      <c r="L9">
        <v>105.880738452038</v>
      </c>
      <c r="M9">
        <v>0.67113127812172901</v>
      </c>
      <c r="N9" s="3">
        <v>1.1242218274273519</v>
      </c>
      <c r="O9">
        <v>116.346124995689</v>
      </c>
      <c r="P9">
        <v>0.70699602578333398</v>
      </c>
    </row>
    <row r="10" spans="1:16" x14ac:dyDescent="0.2">
      <c r="A10">
        <v>185</v>
      </c>
      <c r="B10" s="3">
        <v>1.0313486134683596</v>
      </c>
      <c r="C10">
        <v>93.746918439865098</v>
      </c>
      <c r="D10">
        <v>0.76304974663171099</v>
      </c>
      <c r="E10" s="3">
        <v>1.0196396573994717</v>
      </c>
      <c r="F10">
        <v>97.700367494684201</v>
      </c>
      <c r="G10">
        <v>0.85835183006424198</v>
      </c>
      <c r="H10" s="3">
        <v>1.0495250084429535</v>
      </c>
      <c r="I10">
        <v>97.740132862870496</v>
      </c>
      <c r="J10">
        <v>0.89226379131125</v>
      </c>
      <c r="K10" s="3">
        <v>1.0366258579660188</v>
      </c>
      <c r="L10">
        <v>93.180502669229199</v>
      </c>
      <c r="M10">
        <v>0.76217781998732603</v>
      </c>
      <c r="N10" s="3">
        <v>1</v>
      </c>
      <c r="O10">
        <v>94.199724074108303</v>
      </c>
      <c r="P10">
        <v>0.71218128250315704</v>
      </c>
    </row>
    <row r="11" spans="1:16" x14ac:dyDescent="0.2">
      <c r="A11">
        <v>890</v>
      </c>
      <c r="B11" s="3">
        <v>1.9536552125013029</v>
      </c>
      <c r="C11">
        <v>77.3298561573028</v>
      </c>
      <c r="D11">
        <v>0.94046080959051603</v>
      </c>
      <c r="E11" s="3">
        <v>1.165475018491763</v>
      </c>
      <c r="F11">
        <v>62.753118508957797</v>
      </c>
      <c r="G11">
        <v>0.48869321768125001</v>
      </c>
      <c r="H11" s="3">
        <v>1</v>
      </c>
      <c r="I11">
        <v>51.0072679043083</v>
      </c>
      <c r="J11">
        <v>0.470805160872595</v>
      </c>
      <c r="K11" s="3">
        <v>1.5053742181537921</v>
      </c>
      <c r="L11">
        <v>74.154463725118802</v>
      </c>
      <c r="M11">
        <v>0.64908239111870403</v>
      </c>
      <c r="N11" s="3">
        <v>1.2470667986951038</v>
      </c>
      <c r="O11">
        <v>60.159830580430601</v>
      </c>
      <c r="P11">
        <v>0.52416012289686897</v>
      </c>
    </row>
    <row r="12" spans="1:16" x14ac:dyDescent="0.2">
      <c r="A12">
        <v>237</v>
      </c>
      <c r="B12" s="3">
        <v>1</v>
      </c>
      <c r="C12">
        <v>125.758564472198</v>
      </c>
      <c r="D12">
        <v>0.61650060315199895</v>
      </c>
      <c r="E12" s="3">
        <v>1.1042700851303571</v>
      </c>
      <c r="F12">
        <v>125.235767098729</v>
      </c>
      <c r="G12">
        <v>0.54339941350544196</v>
      </c>
      <c r="H12" s="3">
        <v>1.1494574217866262</v>
      </c>
      <c r="I12">
        <v>120.74833407448099</v>
      </c>
      <c r="J12">
        <v>0.704458186758806</v>
      </c>
      <c r="K12" s="3">
        <v>1.0860862130624604</v>
      </c>
      <c r="L12">
        <v>118.81284244830699</v>
      </c>
      <c r="M12">
        <v>0.62339880290991501</v>
      </c>
      <c r="N12" s="3">
        <v>1.0117393836356221</v>
      </c>
      <c r="O12">
        <v>116.943803401498</v>
      </c>
      <c r="P12">
        <v>0.55303419380041197</v>
      </c>
    </row>
    <row r="13" spans="1:16" x14ac:dyDescent="0.2">
      <c r="A13">
        <v>888</v>
      </c>
      <c r="B13" s="3">
        <v>1.5424361476353352</v>
      </c>
      <c r="C13">
        <v>123.29883575439401</v>
      </c>
      <c r="D13">
        <v>0.80811952773296603</v>
      </c>
      <c r="E13" s="3">
        <v>1.0155052062454595</v>
      </c>
      <c r="F13">
        <v>96.403316844402696</v>
      </c>
      <c r="G13">
        <v>0.54947203951392798</v>
      </c>
      <c r="H13" s="3">
        <v>1</v>
      </c>
      <c r="I13">
        <v>86.058716259085898</v>
      </c>
      <c r="J13">
        <v>0.54346871461221902</v>
      </c>
      <c r="K13" s="3">
        <v>1.035150878622819</v>
      </c>
      <c r="L13">
        <v>99.863549076472495</v>
      </c>
      <c r="M13">
        <v>0.61002691860618397</v>
      </c>
      <c r="N13" s="3">
        <v>1.0104395614758901</v>
      </c>
      <c r="O13">
        <v>93.851713928963505</v>
      </c>
      <c r="P13">
        <v>0.44198972474973702</v>
      </c>
    </row>
    <row r="14" spans="1:16" x14ac:dyDescent="0.2">
      <c r="A14">
        <v>827</v>
      </c>
      <c r="B14" s="3">
        <v>1</v>
      </c>
      <c r="C14">
        <v>100.96342563629101</v>
      </c>
      <c r="D14">
        <v>1.1047592634861201</v>
      </c>
      <c r="E14" s="3">
        <v>1.2027275876003352</v>
      </c>
      <c r="F14">
        <v>103.70931982881601</v>
      </c>
      <c r="G14">
        <v>1.34332111269333</v>
      </c>
      <c r="H14" s="3">
        <v>1.0991348186267866</v>
      </c>
      <c r="I14">
        <v>99.569079200025399</v>
      </c>
      <c r="J14">
        <v>1.16139475394225</v>
      </c>
      <c r="K14" s="3">
        <v>1.4215919062844691</v>
      </c>
      <c r="L14">
        <v>136.38201094194099</v>
      </c>
      <c r="M14">
        <v>1.6156959802381099</v>
      </c>
      <c r="N14" s="3">
        <v>1.0917673544966955</v>
      </c>
      <c r="O14">
        <v>100.946680195306</v>
      </c>
      <c r="P14">
        <v>1.1129114492518899</v>
      </c>
    </row>
    <row r="15" spans="1:16" x14ac:dyDescent="0.2">
      <c r="A15" t="s">
        <v>80</v>
      </c>
      <c r="B15" s="3">
        <f>AVERAGE(B5:B14)</f>
        <v>1.304230445391513</v>
      </c>
      <c r="C15">
        <f t="shared" ref="C15:P15" si="0">AVERAGE(C5:C14)</f>
        <v>107.1127080917355</v>
      </c>
      <c r="D15">
        <f t="shared" si="0"/>
        <v>0.95124796383417964</v>
      </c>
      <c r="E15" s="3">
        <f t="shared" si="0"/>
        <v>1.1342173637923032</v>
      </c>
      <c r="F15">
        <f t="shared" si="0"/>
        <v>95.752147512446754</v>
      </c>
      <c r="G15">
        <f t="shared" si="0"/>
        <v>0.8549355322363501</v>
      </c>
      <c r="H15" s="3">
        <f t="shared" si="0"/>
        <v>1.0498238661692239</v>
      </c>
      <c r="I15">
        <f t="shared" si="0"/>
        <v>92.525264445872764</v>
      </c>
      <c r="J15">
        <f t="shared" si="0"/>
        <v>0.80642752294794762</v>
      </c>
      <c r="K15" s="3">
        <f t="shared" si="0"/>
        <v>1.181451056550896</v>
      </c>
      <c r="L15">
        <f t="shared" si="0"/>
        <v>100.28436254173138</v>
      </c>
      <c r="M15">
        <f t="shared" si="0"/>
        <v>0.93982808333721357</v>
      </c>
      <c r="N15" s="3">
        <f t="shared" si="0"/>
        <v>1.0683292088456553</v>
      </c>
      <c r="O15">
        <f t="shared" si="0"/>
        <v>95.424808697193598</v>
      </c>
      <c r="P15">
        <f t="shared" si="0"/>
        <v>0.76561385962501771</v>
      </c>
    </row>
    <row r="16" spans="1:16" x14ac:dyDescent="0.2">
      <c r="E16" s="3"/>
      <c r="H16" s="3"/>
      <c r="K16" s="3"/>
      <c r="N16" s="3"/>
    </row>
    <row r="17" spans="1:16" x14ac:dyDescent="0.2">
      <c r="A17" s="15" t="s">
        <v>86</v>
      </c>
      <c r="B17" s="3" t="s">
        <v>1</v>
      </c>
      <c r="C17" t="s">
        <v>2</v>
      </c>
      <c r="D17" t="s">
        <v>3</v>
      </c>
      <c r="E17" s="3" t="s">
        <v>4</v>
      </c>
      <c r="F17" t="s">
        <v>5</v>
      </c>
      <c r="G17" t="s">
        <v>6</v>
      </c>
      <c r="H17" s="3" t="s">
        <v>7</v>
      </c>
      <c r="I17" t="s">
        <v>8</v>
      </c>
      <c r="J17" t="s">
        <v>9</v>
      </c>
      <c r="K17" s="3" t="s">
        <v>10</v>
      </c>
      <c r="L17" t="s">
        <v>11</v>
      </c>
      <c r="M17" t="s">
        <v>12</v>
      </c>
      <c r="N17" s="3" t="s">
        <v>13</v>
      </c>
      <c r="O17" t="s">
        <v>14</v>
      </c>
      <c r="P17" t="s">
        <v>15</v>
      </c>
    </row>
    <row r="18" spans="1:16" x14ac:dyDescent="0.2">
      <c r="A18" s="6">
        <v>804</v>
      </c>
      <c r="B18" s="8">
        <v>1.3102214634796105</v>
      </c>
      <c r="C18" s="6">
        <v>140.08946418762201</v>
      </c>
      <c r="D18" s="6">
        <v>0.73184372501942596</v>
      </c>
      <c r="E18" s="8">
        <v>1.2156647303109889</v>
      </c>
      <c r="F18" s="6">
        <v>121.618919795236</v>
      </c>
      <c r="G18" s="6">
        <v>0.80897774369873499</v>
      </c>
      <c r="H18" s="8">
        <v>1</v>
      </c>
      <c r="I18" s="6">
        <v>133.985815077734</v>
      </c>
      <c r="J18" s="6">
        <v>0.68878039174974004</v>
      </c>
      <c r="K18" s="8">
        <v>1.2675186345183016</v>
      </c>
      <c r="L18" s="6">
        <v>140.710445210796</v>
      </c>
      <c r="M18" s="6">
        <v>0.95646435589568501</v>
      </c>
      <c r="N18" s="8">
        <v>1.085309773000809</v>
      </c>
      <c r="O18" s="6">
        <v>130.98555995395901</v>
      </c>
      <c r="P18" s="6">
        <v>0.70791839876472096</v>
      </c>
    </row>
    <row r="19" spans="1:16" x14ac:dyDescent="0.2">
      <c r="A19" s="6">
        <v>812</v>
      </c>
      <c r="B19" s="8">
        <v>1.0921333139684171</v>
      </c>
      <c r="C19" s="6">
        <v>90.255808830261202</v>
      </c>
      <c r="D19" s="6">
        <v>2.0330079166383999</v>
      </c>
      <c r="E19" s="8">
        <v>1.0599682017299559</v>
      </c>
      <c r="F19" s="6">
        <v>87.441142348662893</v>
      </c>
      <c r="G19" s="6">
        <v>1.9372161433797701</v>
      </c>
      <c r="H19" s="8">
        <v>1.0725930696769206</v>
      </c>
      <c r="I19" s="6">
        <v>97.613275927869495</v>
      </c>
      <c r="J19" s="6">
        <v>2.1095728865167001</v>
      </c>
      <c r="K19" s="8">
        <v>1</v>
      </c>
      <c r="L19" s="6">
        <v>93.856954157155101</v>
      </c>
      <c r="M19" s="6">
        <v>2.2367761178120502</v>
      </c>
      <c r="N19" s="8">
        <v>1.0582497445153261</v>
      </c>
      <c r="O19" s="6">
        <v>85.156563281496503</v>
      </c>
      <c r="P19" s="6">
        <v>1.76146216395483</v>
      </c>
    </row>
    <row r="20" spans="1:16" x14ac:dyDescent="0.2">
      <c r="A20" s="6">
        <v>114</v>
      </c>
      <c r="B20" s="8">
        <v>1.3733648859829477</v>
      </c>
      <c r="C20" s="6">
        <v>65.025144815444904</v>
      </c>
      <c r="D20" s="6">
        <v>0.76114630686652296</v>
      </c>
      <c r="E20" s="8">
        <v>1.2604109575523024</v>
      </c>
      <c r="F20" s="6">
        <v>52.295170773032503</v>
      </c>
      <c r="G20" s="6">
        <v>0.6589834757659</v>
      </c>
      <c r="H20" s="8">
        <v>1</v>
      </c>
      <c r="I20" s="6">
        <v>43.9860374627144</v>
      </c>
      <c r="J20" s="6">
        <v>0.52437797893518201</v>
      </c>
      <c r="K20" s="8">
        <v>1.0263805202179861</v>
      </c>
      <c r="L20" s="6">
        <v>47.4486827513104</v>
      </c>
      <c r="M20" s="6">
        <v>0.58430793264981995</v>
      </c>
      <c r="N20" s="8">
        <v>1.029278426183013</v>
      </c>
      <c r="O20" s="6">
        <v>45.029308987584798</v>
      </c>
      <c r="P20" s="6">
        <v>0.53898757415910903</v>
      </c>
    </row>
    <row r="21" spans="1:16" x14ac:dyDescent="0.2">
      <c r="A21" s="6">
        <v>195</v>
      </c>
      <c r="B21" s="8">
        <v>1.2664471359152794</v>
      </c>
      <c r="C21" s="6">
        <v>106.020307540893</v>
      </c>
      <c r="D21" s="6">
        <v>0.67268216078378595</v>
      </c>
      <c r="E21" s="8">
        <v>1.0079254472345176</v>
      </c>
      <c r="F21" s="6">
        <v>90.783409211563495</v>
      </c>
      <c r="G21" s="6">
        <v>0.52772235836524095</v>
      </c>
      <c r="H21" s="8">
        <v>1</v>
      </c>
      <c r="I21" s="6">
        <v>99.820556942447794</v>
      </c>
      <c r="J21" s="6">
        <v>0.51800994807185796</v>
      </c>
      <c r="K21" s="8">
        <v>1.2184336809053906</v>
      </c>
      <c r="L21" s="6">
        <v>99.450296385815193</v>
      </c>
      <c r="M21" s="6">
        <v>0.66766398432905005</v>
      </c>
      <c r="N21" s="8">
        <v>1.0779838995424575</v>
      </c>
      <c r="O21" s="6">
        <v>100.820027533005</v>
      </c>
      <c r="P21" s="6">
        <v>0.57251485265714197</v>
      </c>
    </row>
    <row r="22" spans="1:16" x14ac:dyDescent="0.2">
      <c r="A22" s="6">
        <v>722</v>
      </c>
      <c r="B22" s="8">
        <v>1.8997476822303097</v>
      </c>
      <c r="C22" s="6">
        <v>137.50109672546299</v>
      </c>
      <c r="D22" s="6">
        <v>1.1639450472402899</v>
      </c>
      <c r="E22" s="8">
        <v>1.2571799601737459</v>
      </c>
      <c r="F22" s="6">
        <v>119.58094322038301</v>
      </c>
      <c r="G22" s="6">
        <v>0.83321798769566302</v>
      </c>
      <c r="H22" s="8">
        <v>1</v>
      </c>
      <c r="I22" s="6">
        <v>103.82297239943399</v>
      </c>
      <c r="J22" s="6">
        <v>0.61065473146832805</v>
      </c>
      <c r="K22" s="8">
        <v>1.2065146859730465</v>
      </c>
      <c r="L22" s="6">
        <v>119.103848633308</v>
      </c>
      <c r="M22" s="6">
        <v>0.76545220352667298</v>
      </c>
      <c r="N22" s="8">
        <v>1.1646087449606095</v>
      </c>
      <c r="O22" s="6">
        <v>110.760840372223</v>
      </c>
      <c r="P22" s="6">
        <v>0.72141989113911897</v>
      </c>
    </row>
    <row r="23" spans="1:16" x14ac:dyDescent="0.2">
      <c r="A23" s="6">
        <v>185</v>
      </c>
      <c r="B23" s="8">
        <v>1.0934426065311118</v>
      </c>
      <c r="C23" s="6">
        <v>111.15554571151699</v>
      </c>
      <c r="D23" s="6">
        <v>0.96768896656163494</v>
      </c>
      <c r="E23" s="8">
        <v>1</v>
      </c>
      <c r="F23" s="6">
        <v>97.700367494684201</v>
      </c>
      <c r="G23" s="6">
        <v>0.85835183006424198</v>
      </c>
      <c r="H23" s="8">
        <v>1.0626215651273825</v>
      </c>
      <c r="I23" s="6">
        <v>101.264610149226</v>
      </c>
      <c r="J23" s="6">
        <v>0.92447794374263104</v>
      </c>
      <c r="K23" s="8">
        <v>1.01409269942796</v>
      </c>
      <c r="L23" s="6">
        <v>100.13176853393701</v>
      </c>
      <c r="M23" s="6">
        <v>0.80665710440673499</v>
      </c>
      <c r="N23" s="8">
        <v>1.0523296345825937</v>
      </c>
      <c r="O23" s="6">
        <v>104.47179311844999</v>
      </c>
      <c r="P23" s="6">
        <v>0.83807925196295396</v>
      </c>
    </row>
    <row r="24" spans="1:16" x14ac:dyDescent="0.2">
      <c r="A24" s="6">
        <v>890</v>
      </c>
      <c r="B24" s="8">
        <v>1.6466564518046924</v>
      </c>
      <c r="C24" s="6">
        <v>70.2698171138763</v>
      </c>
      <c r="D24" s="6">
        <v>0.77062701811534395</v>
      </c>
      <c r="E24" s="8">
        <v>1.1775780647456806</v>
      </c>
      <c r="F24" s="6">
        <v>62.753118508957797</v>
      </c>
      <c r="G24" s="6">
        <v>0.48869321768125001</v>
      </c>
      <c r="H24" s="8">
        <v>1</v>
      </c>
      <c r="I24" s="6">
        <v>48.055473656060002</v>
      </c>
      <c r="J24" s="6">
        <v>0.45195334421345701</v>
      </c>
      <c r="K24" s="8">
        <v>1.4288807448525165</v>
      </c>
      <c r="L24" s="6">
        <v>67.731018213487999</v>
      </c>
      <c r="M24" s="6">
        <v>0.61068546081678698</v>
      </c>
      <c r="N24" s="8">
        <v>1.3488434143939618</v>
      </c>
      <c r="O24" s="6">
        <v>78.336934189426799</v>
      </c>
      <c r="P24" s="6">
        <v>0.58337423528280596</v>
      </c>
    </row>
    <row r="25" spans="1:16" x14ac:dyDescent="0.2">
      <c r="A25" s="6">
        <v>237</v>
      </c>
      <c r="B25" s="8">
        <v>1.1834272964106853</v>
      </c>
      <c r="C25" s="6">
        <v>121.237921714782</v>
      </c>
      <c r="D25" s="6">
        <v>0.58930918871875104</v>
      </c>
      <c r="E25" s="8">
        <v>1.1075244283925625</v>
      </c>
      <c r="F25" s="6">
        <v>125.235767098729</v>
      </c>
      <c r="G25" s="6">
        <v>0.54339941350544196</v>
      </c>
      <c r="H25" s="8">
        <v>1.0091884676795093</v>
      </c>
      <c r="I25" s="6">
        <v>120.979196432751</v>
      </c>
      <c r="J25" s="6">
        <v>0.60387951004137996</v>
      </c>
      <c r="K25" s="8">
        <v>1.0371931287707052</v>
      </c>
      <c r="L25" s="6">
        <v>117.614940682973</v>
      </c>
      <c r="M25" s="6">
        <v>0.59034489664981504</v>
      </c>
      <c r="N25" s="8">
        <v>1</v>
      </c>
      <c r="O25" s="6">
        <v>111.362411431624</v>
      </c>
      <c r="P25" s="6">
        <v>0.50170294301527096</v>
      </c>
    </row>
    <row r="26" spans="1:16" x14ac:dyDescent="0.2">
      <c r="A26" s="6">
        <v>888</v>
      </c>
      <c r="B26" s="8">
        <v>1.0882395763445882</v>
      </c>
      <c r="C26" s="6">
        <v>120.319199562072</v>
      </c>
      <c r="D26" s="6">
        <v>0.63667458664003096</v>
      </c>
      <c r="E26" s="8">
        <v>1</v>
      </c>
      <c r="F26" s="6">
        <v>96.403316844402696</v>
      </c>
      <c r="G26" s="6">
        <v>0.54947203951392798</v>
      </c>
      <c r="H26" s="8">
        <v>1.0294552066366303</v>
      </c>
      <c r="I26" s="6">
        <v>98.035448749203297</v>
      </c>
      <c r="J26" s="6">
        <v>0.58283932931695903</v>
      </c>
      <c r="K26" s="8">
        <v>1.0217434627113111</v>
      </c>
      <c r="L26" s="6">
        <v>94.187926329353701</v>
      </c>
      <c r="M26" s="6">
        <v>0.59621938006617903</v>
      </c>
      <c r="N26" s="8">
        <v>1.1215765914239302</v>
      </c>
      <c r="O26" s="6">
        <v>137.75169946749699</v>
      </c>
      <c r="P26" s="6">
        <v>0.59918463596526195</v>
      </c>
    </row>
    <row r="27" spans="1:16" x14ac:dyDescent="0.2">
      <c r="A27" s="6">
        <v>827</v>
      </c>
      <c r="B27" s="8">
        <v>1</v>
      </c>
      <c r="C27" s="6">
        <v>122.90382385253901</v>
      </c>
      <c r="D27" s="6">
        <v>1.1098483437470901</v>
      </c>
      <c r="E27" s="8">
        <v>1.1236814493928688</v>
      </c>
      <c r="F27" s="6">
        <v>103.70931982881601</v>
      </c>
      <c r="G27" s="6">
        <v>1.34332111269333</v>
      </c>
      <c r="H27" s="8">
        <v>1.0402942245284597</v>
      </c>
      <c r="I27" s="6">
        <v>98.4686828173907</v>
      </c>
      <c r="J27" s="6">
        <v>1.14483440247046</v>
      </c>
      <c r="K27" s="8">
        <v>1.2141613662513444</v>
      </c>
      <c r="L27" s="6">
        <v>119.743245539475</v>
      </c>
      <c r="M27" s="6">
        <v>1.3592362590361999</v>
      </c>
      <c r="N27" s="8">
        <v>1.0600518569107165</v>
      </c>
      <c r="O27" s="6">
        <v>108.842324599645</v>
      </c>
      <c r="P27" s="6">
        <v>1.10916369344887</v>
      </c>
    </row>
    <row r="28" spans="1:16" x14ac:dyDescent="0.2">
      <c r="A28" t="s">
        <v>80</v>
      </c>
      <c r="B28" s="3">
        <f>AVERAGE(B18:B27)</f>
        <v>1.2953680412667641</v>
      </c>
      <c r="C28">
        <f t="shared" ref="C28:P28" si="1">AVERAGE(C18:C27)</f>
        <v>108.47781300544705</v>
      </c>
      <c r="D28">
        <f t="shared" si="1"/>
        <v>0.94367732603312771</v>
      </c>
      <c r="E28" s="3">
        <f t="shared" si="1"/>
        <v>1.1209933239532623</v>
      </c>
      <c r="F28">
        <f t="shared" si="1"/>
        <v>95.752147512446754</v>
      </c>
      <c r="G28">
        <f t="shared" si="1"/>
        <v>0.8549355322363501</v>
      </c>
      <c r="H28" s="3">
        <f t="shared" si="1"/>
        <v>1.0214152533648901</v>
      </c>
      <c r="I28">
        <f t="shared" si="1"/>
        <v>94.603206961483068</v>
      </c>
      <c r="J28">
        <f t="shared" si="1"/>
        <v>0.81593804665266956</v>
      </c>
      <c r="K28" s="3">
        <f t="shared" si="1"/>
        <v>1.1434918923628561</v>
      </c>
      <c r="L28">
        <f t="shared" si="1"/>
        <v>99.99791264376114</v>
      </c>
      <c r="M28">
        <f t="shared" si="1"/>
        <v>0.91738076951889946</v>
      </c>
      <c r="N28" s="3">
        <f t="shared" si="1"/>
        <v>1.0998232085513417</v>
      </c>
      <c r="O28">
        <f t="shared" si="1"/>
        <v>101.3517462934911</v>
      </c>
      <c r="P28">
        <f t="shared" si="1"/>
        <v>0.79338076403500835</v>
      </c>
    </row>
    <row r="29" spans="1:16" x14ac:dyDescent="0.2">
      <c r="E29" s="3"/>
      <c r="H29" s="3"/>
      <c r="K29" s="3"/>
      <c r="N29" s="3"/>
    </row>
    <row r="30" spans="1:16" x14ac:dyDescent="0.2">
      <c r="A30" s="15" t="s">
        <v>87</v>
      </c>
      <c r="B30" s="3" t="s">
        <v>1</v>
      </c>
      <c r="C30" t="s">
        <v>2</v>
      </c>
      <c r="D30" t="s">
        <v>3</v>
      </c>
      <c r="E30" s="3" t="s">
        <v>4</v>
      </c>
      <c r="F30" t="s">
        <v>5</v>
      </c>
      <c r="G30" t="s">
        <v>6</v>
      </c>
      <c r="H30" s="3" t="s">
        <v>7</v>
      </c>
      <c r="I30" t="s">
        <v>8</v>
      </c>
      <c r="J30" t="s">
        <v>9</v>
      </c>
      <c r="K30" s="3" t="s">
        <v>10</v>
      </c>
      <c r="L30" t="s">
        <v>11</v>
      </c>
      <c r="M30" t="s">
        <v>12</v>
      </c>
      <c r="N30" s="3" t="s">
        <v>13</v>
      </c>
      <c r="O30" t="s">
        <v>14</v>
      </c>
      <c r="P30" t="s">
        <v>15</v>
      </c>
    </row>
    <row r="31" spans="1:16" x14ac:dyDescent="0.2">
      <c r="A31" s="7">
        <v>804</v>
      </c>
      <c r="B31" s="9">
        <v>1.346136541046294</v>
      </c>
      <c r="C31" s="7">
        <v>140.94434976577699</v>
      </c>
      <c r="D31" s="7">
        <v>0.74212312676235104</v>
      </c>
      <c r="E31" s="9">
        <v>1.2362738000597477</v>
      </c>
      <c r="F31" s="7">
        <v>121.618919795236</v>
      </c>
      <c r="G31" s="7">
        <v>0.80897774369873499</v>
      </c>
      <c r="H31" s="9">
        <v>1</v>
      </c>
      <c r="I31" s="7">
        <v>129.54866452372801</v>
      </c>
      <c r="J31" s="7">
        <v>0.64952956056420297</v>
      </c>
      <c r="K31" s="9">
        <v>1.1520529739144751</v>
      </c>
      <c r="L31" s="7">
        <v>135.82314956034199</v>
      </c>
      <c r="M31" s="7">
        <v>0.846311261394734</v>
      </c>
      <c r="N31" s="9">
        <v>1.113161298396405</v>
      </c>
      <c r="O31" s="7">
        <v>134.983902908294</v>
      </c>
      <c r="P31" s="7">
        <v>0.76499516978168303</v>
      </c>
    </row>
    <row r="32" spans="1:16" x14ac:dyDescent="0.2">
      <c r="A32" s="7">
        <v>812</v>
      </c>
      <c r="B32" s="9">
        <v>1.0591765899721666</v>
      </c>
      <c r="C32" s="7">
        <v>94.631123542785602</v>
      </c>
      <c r="D32" s="7">
        <v>2.2636610220395599</v>
      </c>
      <c r="E32" s="9">
        <v>1.048517001831849</v>
      </c>
      <c r="F32" s="7">
        <v>87.441142348662893</v>
      </c>
      <c r="G32" s="7">
        <v>1.9372161433797701</v>
      </c>
      <c r="H32" s="9">
        <v>1.0022923526299043</v>
      </c>
      <c r="I32" s="7">
        <v>89.427618941987404</v>
      </c>
      <c r="J32" s="7">
        <v>1.8967838475333201</v>
      </c>
      <c r="K32" s="9">
        <v>1.0685267476857783</v>
      </c>
      <c r="L32" s="7">
        <v>96.811058383382701</v>
      </c>
      <c r="M32" s="7">
        <v>2.4370181409295899</v>
      </c>
      <c r="N32" s="9">
        <v>1</v>
      </c>
      <c r="O32" s="7">
        <v>91.226394572011799</v>
      </c>
      <c r="P32" s="7">
        <v>2.1540016702832898</v>
      </c>
    </row>
    <row r="33" spans="1:16" x14ac:dyDescent="0.2">
      <c r="A33" s="7">
        <v>114</v>
      </c>
      <c r="B33" s="9">
        <v>1.5796143535766074</v>
      </c>
      <c r="C33" s="7">
        <v>59.503060579299898</v>
      </c>
      <c r="D33" s="7">
        <v>0.86733628890001502</v>
      </c>
      <c r="E33" s="9">
        <v>1.2381936128970481</v>
      </c>
      <c r="F33" s="7">
        <v>52.295170773032503</v>
      </c>
      <c r="G33" s="7">
        <v>0.6589834757659</v>
      </c>
      <c r="H33" s="9">
        <v>1.0154767956567661</v>
      </c>
      <c r="I33" s="7">
        <v>46.195420668987303</v>
      </c>
      <c r="J33" s="7">
        <v>0.56742228553755403</v>
      </c>
      <c r="K33" s="9">
        <v>1</v>
      </c>
      <c r="L33" s="7">
        <v>45.891310783386501</v>
      </c>
      <c r="M33" s="7">
        <v>0.56913798074458</v>
      </c>
      <c r="N33" s="9">
        <v>1.2476407049314389</v>
      </c>
      <c r="O33" s="7">
        <v>66.431458257828993</v>
      </c>
      <c r="P33" s="7">
        <v>0.68971685398820604</v>
      </c>
    </row>
    <row r="34" spans="1:16" x14ac:dyDescent="0.2">
      <c r="A34" s="7">
        <v>195</v>
      </c>
      <c r="B34" s="9">
        <v>1.5761821902624467</v>
      </c>
      <c r="C34" s="7">
        <v>102.37876176834099</v>
      </c>
      <c r="D34" s="7">
        <v>0.76818808869219302</v>
      </c>
      <c r="E34" s="9">
        <v>1.0720379456528777</v>
      </c>
      <c r="F34" s="7">
        <v>90.783409211563495</v>
      </c>
      <c r="G34" s="7">
        <v>0.52772235836524095</v>
      </c>
      <c r="H34" s="9">
        <v>1</v>
      </c>
      <c r="I34" s="7">
        <v>91.268709308194303</v>
      </c>
      <c r="J34" s="7">
        <v>0.53444986403383898</v>
      </c>
      <c r="K34" s="9">
        <v>1.069093207114701</v>
      </c>
      <c r="L34" s="7">
        <v>89.5603862663922</v>
      </c>
      <c r="M34" s="7">
        <v>0.53382797745910304</v>
      </c>
      <c r="N34" s="9">
        <v>1.0204219868886542</v>
      </c>
      <c r="O34" s="7">
        <v>87.883168695940796</v>
      </c>
      <c r="P34" s="7">
        <v>0.45519385002841001</v>
      </c>
    </row>
    <row r="35" spans="1:16" x14ac:dyDescent="0.2">
      <c r="A35" s="7">
        <v>722</v>
      </c>
      <c r="B35" s="9">
        <v>1.5105582397247055</v>
      </c>
      <c r="C35" s="7">
        <v>131.692123413085</v>
      </c>
      <c r="D35" s="7">
        <v>1.1299582955538701</v>
      </c>
      <c r="E35" s="9">
        <v>1.1459487295207993</v>
      </c>
      <c r="F35" s="7">
        <v>119.58094322038301</v>
      </c>
      <c r="G35" s="7">
        <v>0.83321798769566302</v>
      </c>
      <c r="H35" s="9">
        <v>1</v>
      </c>
      <c r="I35" s="7">
        <v>112.059680098347</v>
      </c>
      <c r="J35" s="7">
        <v>0.66815728931571405</v>
      </c>
      <c r="K35" s="9">
        <v>1.0694844027218988</v>
      </c>
      <c r="L35" s="7">
        <v>116.05941572904599</v>
      </c>
      <c r="M35" s="7">
        <v>0.74807293491997395</v>
      </c>
      <c r="N35" s="9">
        <v>1.1714764792697461</v>
      </c>
      <c r="O35" s="7">
        <v>134.53173918333599</v>
      </c>
      <c r="P35" s="7">
        <v>0.61446383942521499</v>
      </c>
    </row>
    <row r="36" spans="1:16" x14ac:dyDescent="0.2">
      <c r="A36" s="7">
        <v>185</v>
      </c>
      <c r="B36" s="9">
        <v>1</v>
      </c>
      <c r="C36" s="7">
        <v>113.132393360137</v>
      </c>
      <c r="D36" s="7">
        <v>0.83481346872971096</v>
      </c>
      <c r="E36" s="9">
        <v>1.1017050446036458</v>
      </c>
      <c r="F36" s="7">
        <v>97.700367494684201</v>
      </c>
      <c r="G36" s="7">
        <v>0.85835183006424198</v>
      </c>
      <c r="H36" s="9">
        <v>1.1298061435752793</v>
      </c>
      <c r="I36" s="7">
        <v>98.537851742119997</v>
      </c>
      <c r="J36" s="7">
        <v>0.89303157527503696</v>
      </c>
      <c r="K36" s="9">
        <v>1.0737313206610581</v>
      </c>
      <c r="L36" s="7">
        <v>102.506922493711</v>
      </c>
      <c r="M36" s="7">
        <v>0.81560242796050897</v>
      </c>
      <c r="N36" s="9">
        <v>1.2344268911322684</v>
      </c>
      <c r="O36" s="7">
        <v>120.75390331773301</v>
      </c>
      <c r="P36" s="7">
        <v>0.90292392236027397</v>
      </c>
    </row>
    <row r="37" spans="1:16" x14ac:dyDescent="0.2">
      <c r="A37" s="7">
        <v>890</v>
      </c>
      <c r="B37" s="9">
        <v>1.7617117153210431</v>
      </c>
      <c r="C37" s="7">
        <v>72.898066043853703</v>
      </c>
      <c r="D37" s="7">
        <v>0.86924869573179098</v>
      </c>
      <c r="E37" s="9">
        <v>1.0685685959986251</v>
      </c>
      <c r="F37" s="7">
        <v>62.753118508957797</v>
      </c>
      <c r="G37" s="7">
        <v>0.48869321768125001</v>
      </c>
      <c r="H37" s="9">
        <v>1</v>
      </c>
      <c r="I37" s="7">
        <v>57.883424366017501</v>
      </c>
      <c r="J37" s="7">
        <v>0.51478707943246804</v>
      </c>
      <c r="K37" s="9">
        <v>1.2505289335653826</v>
      </c>
      <c r="L37" s="7">
        <v>72.725935734683105</v>
      </c>
      <c r="M37" s="7">
        <v>0.59878758691700695</v>
      </c>
      <c r="N37" s="9">
        <v>1.4242196363902451</v>
      </c>
      <c r="O37" s="7">
        <v>74.091302665543196</v>
      </c>
      <c r="P37" s="7">
        <v>0.66596610285183899</v>
      </c>
    </row>
    <row r="38" spans="1:16" x14ac:dyDescent="0.2">
      <c r="A38" s="7">
        <v>237</v>
      </c>
      <c r="B38" s="9">
        <v>2.2202304646342004</v>
      </c>
      <c r="C38" s="7">
        <v>147.35212326049799</v>
      </c>
      <c r="D38" s="7">
        <v>1.12967540542024</v>
      </c>
      <c r="E38" s="9">
        <v>1.2229683345656206</v>
      </c>
      <c r="F38" s="7">
        <v>125.235767098729</v>
      </c>
      <c r="G38" s="7">
        <v>0.54339941350544196</v>
      </c>
      <c r="H38" s="9">
        <v>1</v>
      </c>
      <c r="I38" s="7">
        <v>119.491543689002</v>
      </c>
      <c r="J38" s="7">
        <v>0.59546293317501298</v>
      </c>
      <c r="K38" s="9">
        <v>1.0053295734967476</v>
      </c>
      <c r="L38" s="7">
        <v>109.18348009757899</v>
      </c>
      <c r="M38" s="7">
        <v>0.55259426481688201</v>
      </c>
      <c r="N38" s="9">
        <v>1.1010532522791654</v>
      </c>
      <c r="O38" s="7">
        <v>95.589458901941896</v>
      </c>
      <c r="P38" s="7">
        <v>0.425321276065318</v>
      </c>
    </row>
    <row r="39" spans="1:16" x14ac:dyDescent="0.2">
      <c r="A39" s="7">
        <v>888</v>
      </c>
      <c r="B39" s="9">
        <v>1.247371449603885</v>
      </c>
      <c r="C39" s="7">
        <v>108.21719169616701</v>
      </c>
      <c r="D39" s="7">
        <v>0.61700623663519905</v>
      </c>
      <c r="E39" s="9">
        <v>1.0158040906552108</v>
      </c>
      <c r="F39" s="7">
        <v>96.403316844402696</v>
      </c>
      <c r="G39" s="7">
        <v>0.54947203951392798</v>
      </c>
      <c r="H39" s="9">
        <v>1.0759064785417758</v>
      </c>
      <c r="I39" s="7">
        <v>94.8353814271766</v>
      </c>
      <c r="J39" s="7">
        <v>0.58750909247377003</v>
      </c>
      <c r="K39" s="9">
        <v>1</v>
      </c>
      <c r="L39" s="7">
        <v>88.730014433410204</v>
      </c>
      <c r="M39" s="7">
        <v>0.54238868164125398</v>
      </c>
      <c r="N39" s="9">
        <v>1.0716128142054984</v>
      </c>
      <c r="O39" s="7">
        <v>97.232311207248998</v>
      </c>
      <c r="P39" s="7">
        <v>0.50377254015143402</v>
      </c>
    </row>
    <row r="40" spans="1:16" x14ac:dyDescent="0.2">
      <c r="A40" s="7">
        <v>827</v>
      </c>
      <c r="B40" s="9">
        <v>1.0194797703249989</v>
      </c>
      <c r="C40" s="7">
        <v>110.81888675689601</v>
      </c>
      <c r="D40" s="7">
        <v>1.11251761862848</v>
      </c>
      <c r="E40" s="9">
        <v>1.1048341622451681</v>
      </c>
      <c r="F40" s="7">
        <v>103.70931982881601</v>
      </c>
      <c r="G40" s="7">
        <v>1.34332111269333</v>
      </c>
      <c r="H40" s="9">
        <v>1</v>
      </c>
      <c r="I40" s="7">
        <v>97.207849998758505</v>
      </c>
      <c r="J40" s="7">
        <v>1.09184827201388</v>
      </c>
      <c r="K40" s="9">
        <v>1.1185413195697895</v>
      </c>
      <c r="L40" s="7">
        <v>107.082617547436</v>
      </c>
      <c r="M40" s="7">
        <v>1.2981230682382201</v>
      </c>
      <c r="N40" s="9">
        <v>1.1565833199770896</v>
      </c>
      <c r="O40" s="7">
        <v>128.30556767711201</v>
      </c>
      <c r="P40" s="7">
        <v>1.1888715592174799</v>
      </c>
    </row>
    <row r="41" spans="1:16" x14ac:dyDescent="0.2">
      <c r="A41" t="s">
        <v>80</v>
      </c>
      <c r="B41" s="3">
        <f>AVERAGE(B31:B40)</f>
        <v>1.4320461314466351</v>
      </c>
      <c r="C41">
        <f t="shared" ref="C41:P41" si="2">AVERAGE(C31:C40)</f>
        <v>108.15680801868402</v>
      </c>
      <c r="D41">
        <f t="shared" si="2"/>
        <v>1.0334528247093409</v>
      </c>
      <c r="E41" s="3">
        <f t="shared" si="2"/>
        <v>1.1254851318030592</v>
      </c>
      <c r="F41">
        <f t="shared" si="2"/>
        <v>95.752147512446754</v>
      </c>
      <c r="G41">
        <f t="shared" si="2"/>
        <v>0.8549355322363501</v>
      </c>
      <c r="H41" s="3">
        <f t="shared" si="2"/>
        <v>1.0223481770403726</v>
      </c>
      <c r="I41">
        <f t="shared" si="2"/>
        <v>93.645614476431859</v>
      </c>
      <c r="J41">
        <f t="shared" si="2"/>
        <v>0.79989817993547985</v>
      </c>
      <c r="K41" s="3">
        <f t="shared" si="2"/>
        <v>1.0807288478729831</v>
      </c>
      <c r="L41">
        <f t="shared" si="2"/>
        <v>96.437429102936875</v>
      </c>
      <c r="M41">
        <f t="shared" si="2"/>
        <v>0.89418643250218532</v>
      </c>
      <c r="N41" s="3">
        <f t="shared" si="2"/>
        <v>1.1540596383470509</v>
      </c>
      <c r="O41">
        <f t="shared" si="2"/>
        <v>103.1029207386991</v>
      </c>
      <c r="P41">
        <f t="shared" si="2"/>
        <v>0.83652267841531491</v>
      </c>
    </row>
    <row r="44" spans="1:16" x14ac:dyDescent="0.2">
      <c r="A44" s="15" t="s">
        <v>136</v>
      </c>
      <c r="B44" s="3" t="s">
        <v>1</v>
      </c>
      <c r="C44" t="s">
        <v>2</v>
      </c>
      <c r="D44" t="s">
        <v>3</v>
      </c>
      <c r="E44" s="3" t="s">
        <v>4</v>
      </c>
      <c r="F44" t="s">
        <v>5</v>
      </c>
      <c r="G44" t="s">
        <v>6</v>
      </c>
      <c r="H44" s="3" t="s">
        <v>7</v>
      </c>
      <c r="I44" t="s">
        <v>8</v>
      </c>
      <c r="J44" t="s">
        <v>9</v>
      </c>
      <c r="K44" s="3" t="s">
        <v>10</v>
      </c>
      <c r="L44" t="s">
        <v>11</v>
      </c>
      <c r="M44" t="s">
        <v>12</v>
      </c>
      <c r="N44" s="3" t="s">
        <v>13</v>
      </c>
      <c r="O44" t="s">
        <v>14</v>
      </c>
      <c r="P44" t="s">
        <v>15</v>
      </c>
    </row>
    <row r="45" spans="1:16" x14ac:dyDescent="0.2">
      <c r="A45" s="18">
        <v>804</v>
      </c>
      <c r="B45" s="19">
        <v>1.2964160804458491</v>
      </c>
      <c r="C45" s="20">
        <v>134.648537635803</v>
      </c>
      <c r="D45" s="20">
        <v>0.74999856778289997</v>
      </c>
      <c r="E45" s="19">
        <v>1.1783013742590152</v>
      </c>
      <c r="F45" s="20">
        <v>121.618919795236</v>
      </c>
      <c r="G45" s="20">
        <v>0.80897774369873499</v>
      </c>
      <c r="H45" s="19">
        <v>1</v>
      </c>
      <c r="I45" s="20">
        <v>132.264721838843</v>
      </c>
      <c r="J45" s="20">
        <v>0.69318587596602799</v>
      </c>
      <c r="K45" s="19">
        <v>1.3183608454542151</v>
      </c>
      <c r="L45" s="20">
        <v>136.941255869918</v>
      </c>
      <c r="M45" s="20">
        <v>0.95426341302569295</v>
      </c>
      <c r="N45" s="19">
        <v>1.1228419120207935</v>
      </c>
      <c r="O45" s="20">
        <v>130.60712741771999</v>
      </c>
      <c r="P45" s="20">
        <v>0.67623710785678304</v>
      </c>
    </row>
    <row r="46" spans="1:16" x14ac:dyDescent="0.2">
      <c r="A46" s="18">
        <v>812</v>
      </c>
      <c r="B46" s="19">
        <v>1.2033284450208122</v>
      </c>
      <c r="C46" s="20">
        <v>110.860347747802</v>
      </c>
      <c r="D46" s="20">
        <v>1.94264939985954</v>
      </c>
      <c r="E46" s="19">
        <v>1.0557271391583274</v>
      </c>
      <c r="F46" s="20">
        <v>87.441142348662893</v>
      </c>
      <c r="G46" s="20">
        <v>1.9372161433797701</v>
      </c>
      <c r="H46" s="19">
        <v>1</v>
      </c>
      <c r="I46" s="20">
        <v>88.1953243161432</v>
      </c>
      <c r="J46" s="20">
        <v>1.8648036496369</v>
      </c>
      <c r="K46" s="19">
        <v>1.0819478750382758</v>
      </c>
      <c r="L46" s="20">
        <v>96.501238840501301</v>
      </c>
      <c r="M46" s="20">
        <v>2.4333025059032298</v>
      </c>
      <c r="N46" s="19">
        <v>1.0248414184939993</v>
      </c>
      <c r="O46" s="20">
        <v>87.640974236445601</v>
      </c>
      <c r="P46" s="20">
        <v>1.8760608055750601</v>
      </c>
    </row>
    <row r="47" spans="1:16" x14ac:dyDescent="0.2">
      <c r="A47" s="18">
        <v>114</v>
      </c>
      <c r="B47" s="19">
        <v>1.5813525882591617</v>
      </c>
      <c r="C47" s="20">
        <v>77.6458740234375</v>
      </c>
      <c r="D47" s="20">
        <v>0.97189005345925406</v>
      </c>
      <c r="E47" s="19">
        <v>1.2309123152675814</v>
      </c>
      <c r="F47" s="20">
        <v>52.295170773032503</v>
      </c>
      <c r="G47" s="20">
        <v>0.6589834757659</v>
      </c>
      <c r="H47" s="19">
        <v>1.0429505236080863</v>
      </c>
      <c r="I47" s="20">
        <v>46.451581050085501</v>
      </c>
      <c r="J47" s="20">
        <v>0.55644885728289395</v>
      </c>
      <c r="K47" s="19">
        <v>1</v>
      </c>
      <c r="L47" s="20">
        <v>44.1150765400278</v>
      </c>
      <c r="M47" s="20">
        <v>0.56151781205343299</v>
      </c>
      <c r="N47" s="19">
        <v>1.1420141458673696</v>
      </c>
      <c r="O47" s="20">
        <v>54.425498067664499</v>
      </c>
      <c r="P47" s="20">
        <v>0.64789755593029597</v>
      </c>
    </row>
    <row r="48" spans="1:16" x14ac:dyDescent="0.2">
      <c r="A48" s="18">
        <v>195</v>
      </c>
      <c r="B48" s="19">
        <v>1.4943750416175889</v>
      </c>
      <c r="C48" s="20">
        <v>132.339572906494</v>
      </c>
      <c r="D48" s="20">
        <v>0.86932107474218101</v>
      </c>
      <c r="E48" s="19">
        <v>1</v>
      </c>
      <c r="F48" s="20">
        <v>90.783409211563495</v>
      </c>
      <c r="G48" s="20">
        <v>0.52772235836524095</v>
      </c>
      <c r="H48" s="19">
        <v>1.0331241202191195</v>
      </c>
      <c r="I48" s="20">
        <v>91.070637256498799</v>
      </c>
      <c r="J48" s="20">
        <v>0.55381013139393298</v>
      </c>
      <c r="K48" s="19">
        <v>1.1953411342721898</v>
      </c>
      <c r="L48" s="20">
        <v>101.586474009127</v>
      </c>
      <c r="M48" s="20">
        <v>0.66681489719751497</v>
      </c>
      <c r="N48" s="19">
        <v>1.182203077782457</v>
      </c>
      <c r="O48" s="20">
        <v>102.35986525652</v>
      </c>
      <c r="P48" s="20">
        <v>0.66386652828077497</v>
      </c>
    </row>
    <row r="49" spans="1:16" x14ac:dyDescent="0.2">
      <c r="A49" s="18">
        <v>722</v>
      </c>
      <c r="B49" s="19">
        <v>1.5521024202110236</v>
      </c>
      <c r="C49" s="20">
        <v>135.181605815887</v>
      </c>
      <c r="D49" s="20">
        <v>1.0440688721951299</v>
      </c>
      <c r="E49" s="19">
        <v>1.1677219775238488</v>
      </c>
      <c r="F49" s="20">
        <v>119.58094322038301</v>
      </c>
      <c r="G49" s="20">
        <v>0.83321798769566302</v>
      </c>
      <c r="H49" s="19">
        <v>1</v>
      </c>
      <c r="I49" s="20">
        <v>109.13193784101099</v>
      </c>
      <c r="J49" s="20">
        <v>0.65347365892675702</v>
      </c>
      <c r="K49" s="19">
        <v>1.1449497212959641</v>
      </c>
      <c r="L49" s="20">
        <v>119.66609340729001</v>
      </c>
      <c r="M49" s="20">
        <v>0.76624462485278999</v>
      </c>
      <c r="N49" s="19">
        <v>1.1337895150061554</v>
      </c>
      <c r="O49" s="20">
        <v>121.653146137208</v>
      </c>
      <c r="P49" s="20">
        <v>0.81437007550779605</v>
      </c>
    </row>
    <row r="50" spans="1:16" x14ac:dyDescent="0.2">
      <c r="A50" s="18">
        <v>185</v>
      </c>
      <c r="B50" s="19">
        <v>1</v>
      </c>
      <c r="C50" s="18">
        <v>103.742384910583</v>
      </c>
      <c r="D50" s="18">
        <v>0.81199436358442201</v>
      </c>
      <c r="E50" s="19">
        <v>1.0751866056009163</v>
      </c>
      <c r="F50" s="18">
        <v>97.700367494684201</v>
      </c>
      <c r="G50" s="18">
        <v>0.85835183006424198</v>
      </c>
      <c r="H50" s="19">
        <v>1.0551859547458109</v>
      </c>
      <c r="I50" s="18">
        <v>99.117633102045303</v>
      </c>
      <c r="J50" s="18">
        <v>0.82237192374713097</v>
      </c>
      <c r="K50" s="19">
        <v>1.0313156624798596</v>
      </c>
      <c r="L50" s="18">
        <v>98.797892674946198</v>
      </c>
      <c r="M50" s="18">
        <v>0.76931696446269604</v>
      </c>
      <c r="N50" s="19">
        <v>1.0546019165049936</v>
      </c>
      <c r="O50" s="18">
        <v>97.680347369800202</v>
      </c>
      <c r="P50" s="18">
        <v>0.78999182451771699</v>
      </c>
    </row>
    <row r="51" spans="1:16" x14ac:dyDescent="0.2">
      <c r="A51" s="18">
        <v>890</v>
      </c>
      <c r="B51" s="19">
        <v>1.4228392340044018</v>
      </c>
      <c r="C51" s="18">
        <v>71.701157093048096</v>
      </c>
      <c r="D51" s="18">
        <v>0.71719634913918895</v>
      </c>
      <c r="E51" s="19">
        <v>1.032439172802619</v>
      </c>
      <c r="F51" s="18">
        <v>62.753118508957797</v>
      </c>
      <c r="G51" s="18">
        <v>0.48869321768125001</v>
      </c>
      <c r="H51" s="19">
        <v>1</v>
      </c>
      <c r="I51" s="18">
        <v>57.8519166729997</v>
      </c>
      <c r="J51" s="18">
        <v>0.53482785356058005</v>
      </c>
      <c r="K51" s="19">
        <v>1.2544516594845017</v>
      </c>
      <c r="L51" s="18">
        <v>71.284946980195002</v>
      </c>
      <c r="M51" s="18">
        <v>0.61060893102269198</v>
      </c>
      <c r="N51" s="19">
        <v>1.1450889086864944</v>
      </c>
      <c r="O51" s="18">
        <v>57.313678589265898</v>
      </c>
      <c r="P51" s="18">
        <v>0.52965949155732495</v>
      </c>
    </row>
    <row r="52" spans="1:16" x14ac:dyDescent="0.2">
      <c r="A52" s="18">
        <v>237</v>
      </c>
      <c r="B52" s="19">
        <v>1.5471140509022927</v>
      </c>
      <c r="C52" s="18">
        <v>128.37004661559999</v>
      </c>
      <c r="D52" s="18">
        <v>0.88645064396580397</v>
      </c>
      <c r="E52" s="19">
        <v>1.2407125817559079</v>
      </c>
      <c r="F52" s="18">
        <v>125.235767098729</v>
      </c>
      <c r="G52" s="18">
        <v>0.54339941350544196</v>
      </c>
      <c r="H52" s="19">
        <v>1</v>
      </c>
      <c r="I52" s="18">
        <v>119.682058030683</v>
      </c>
      <c r="J52" s="18">
        <v>0.59076599587451195</v>
      </c>
      <c r="K52" s="19">
        <v>1.223947044144382</v>
      </c>
      <c r="L52" s="18">
        <v>122.55876505190901</v>
      </c>
      <c r="M52" s="18">
        <v>0.626541567931445</v>
      </c>
      <c r="N52" s="19">
        <v>1.1578969653830624</v>
      </c>
      <c r="O52" s="18">
        <v>102.978370245487</v>
      </c>
      <c r="P52" s="18">
        <v>0.43951112933280201</v>
      </c>
    </row>
    <row r="53" spans="1:16" x14ac:dyDescent="0.2">
      <c r="A53" s="18">
        <v>888</v>
      </c>
      <c r="B53" s="19">
        <v>1.0449404093767249</v>
      </c>
      <c r="C53" s="18">
        <v>101.488137245178</v>
      </c>
      <c r="D53" s="18">
        <v>0.53647708832579699</v>
      </c>
      <c r="E53" s="19">
        <v>1.032665308698268</v>
      </c>
      <c r="F53" s="18">
        <v>96.403316844402696</v>
      </c>
      <c r="G53" s="18">
        <v>0.54947203951392798</v>
      </c>
      <c r="H53" s="19">
        <v>1.048938536665277</v>
      </c>
      <c r="I53" s="18">
        <v>95.060966389990696</v>
      </c>
      <c r="J53" s="18">
        <v>0.53463612299633401</v>
      </c>
      <c r="K53" s="19">
        <v>1.045133551247525</v>
      </c>
      <c r="L53" s="18">
        <v>91.046120320747306</v>
      </c>
      <c r="M53" s="18">
        <v>0.56905930114041703</v>
      </c>
      <c r="N53" s="19">
        <v>1</v>
      </c>
      <c r="O53" s="18">
        <v>100.775737542588</v>
      </c>
      <c r="P53" s="18">
        <v>0.45232751026711998</v>
      </c>
    </row>
    <row r="54" spans="1:16" x14ac:dyDescent="0.2">
      <c r="A54" s="18">
        <v>827</v>
      </c>
      <c r="B54" s="19">
        <v>1.0992554110175377</v>
      </c>
      <c r="C54" s="18">
        <v>118.85894536972</v>
      </c>
      <c r="D54" s="18">
        <v>1.1365040949654099</v>
      </c>
      <c r="E54" s="19">
        <v>1.1475576434362267</v>
      </c>
      <c r="F54" s="18">
        <v>103.70931982881601</v>
      </c>
      <c r="G54" s="18">
        <v>1.34332111269333</v>
      </c>
      <c r="H54" s="19">
        <v>1.0360948133641932</v>
      </c>
      <c r="I54" s="18">
        <v>101.569487872034</v>
      </c>
      <c r="J54" s="18">
        <v>1.1352500552553499</v>
      </c>
      <c r="K54" s="19">
        <v>1.246602489015618</v>
      </c>
      <c r="L54" s="18">
        <v>123.711226079874</v>
      </c>
      <c r="M54" s="18">
        <v>1.40561651196765</v>
      </c>
      <c r="N54" s="19">
        <v>1</v>
      </c>
      <c r="O54" s="18">
        <v>102.341475093489</v>
      </c>
      <c r="P54" s="18">
        <v>1.0792393862449201</v>
      </c>
    </row>
    <row r="55" spans="1:16" x14ac:dyDescent="0.2">
      <c r="A55" t="s">
        <v>80</v>
      </c>
      <c r="B55" s="3">
        <f>AVERAGE(B45:B54)</f>
        <v>1.3241723680855393</v>
      </c>
      <c r="C55">
        <f t="shared" ref="C55:P55" si="3">AVERAGE(C45:C54)</f>
        <v>111.48366093635528</v>
      </c>
      <c r="D55">
        <f t="shared" si="3"/>
        <v>0.96665505080196257</v>
      </c>
      <c r="E55" s="3">
        <f t="shared" si="3"/>
        <v>1.1161224118502711</v>
      </c>
      <c r="F55">
        <f t="shared" si="3"/>
        <v>95.752147512446754</v>
      </c>
      <c r="G55">
        <f t="shared" si="3"/>
        <v>0.8549355322363501</v>
      </c>
      <c r="H55" s="3">
        <f t="shared" si="3"/>
        <v>1.0216293948602488</v>
      </c>
      <c r="I55">
        <f t="shared" si="3"/>
        <v>94.039626437033405</v>
      </c>
      <c r="J55">
        <f t="shared" si="3"/>
        <v>0.79395741246404183</v>
      </c>
      <c r="K55" s="3">
        <f t="shared" si="3"/>
        <v>1.154204998243253</v>
      </c>
      <c r="L55">
        <f t="shared" si="3"/>
        <v>100.62090897745355</v>
      </c>
      <c r="M55">
        <f t="shared" si="3"/>
        <v>0.93632865295575607</v>
      </c>
      <c r="N55" s="3">
        <f t="shared" si="3"/>
        <v>1.0963277859745326</v>
      </c>
      <c r="O55">
        <f t="shared" si="3"/>
        <v>95.777621995618816</v>
      </c>
      <c r="P55">
        <f t="shared" si="3"/>
        <v>0.79691614150705936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comparison</vt:lpstr>
      <vt:lpstr>all_features</vt:lpstr>
      <vt:lpstr>feature_set_1</vt:lpstr>
      <vt:lpstr>feature_set_2</vt:lpstr>
      <vt:lpstr>feature_set_3</vt:lpstr>
      <vt:lpstr>feature_set_2+3</vt:lpstr>
      <vt:lpstr>feature_set_4</vt:lpstr>
      <vt:lpstr>feature_set_5</vt:lpstr>
      <vt:lpstr>feature_set_6</vt:lpstr>
      <vt:lpstr>feature_set_7</vt:lpstr>
      <vt:lpstr>feature_set_8</vt:lpstr>
      <vt:lpstr>comparison_normalized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2025-05-21T19:57:06Z</dcterms:created>
  <dcterms:modified xsi:type="dcterms:W3CDTF">2025-05-31T20:53:40Z</dcterms:modified>
</cp:coreProperties>
</file>