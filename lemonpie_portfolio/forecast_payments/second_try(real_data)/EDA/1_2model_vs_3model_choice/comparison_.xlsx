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_yakovlev/Documents/LemonPie/forecast_payments/second_try(real_data)/training_models/"/>
    </mc:Choice>
  </mc:AlternateContent>
  <xr:revisionPtr revIDLastSave="0" documentId="13_ncr:9_{A44BC6EC-52FC-6B47-93EB-D118037AFE8E}" xr6:coauthVersionLast="47" xr6:coauthVersionMax="47" xr10:uidLastSave="{00000000-0000-0000-0000-000000000000}"/>
  <bookViews>
    <workbookView xWindow="0" yWindow="760" windowWidth="34200" windowHeight="21380" xr2:uid="{E0C53F2A-9CAF-E24A-932A-DA835FB9EA64}"/>
  </bookViews>
  <sheets>
    <sheet name="compariso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V36" i="1"/>
  <c r="S36" i="1"/>
  <c r="P36" i="1"/>
  <c r="F36" i="1"/>
  <c r="M36" i="1"/>
  <c r="J36" i="1"/>
  <c r="J65" i="1" s="1"/>
  <c r="H36" i="1"/>
  <c r="H65" i="1" s="1"/>
  <c r="D36" i="1"/>
  <c r="X36" i="1"/>
  <c r="W36" i="1"/>
  <c r="U36" i="1"/>
  <c r="T36" i="1"/>
  <c r="R36" i="1"/>
  <c r="Q36" i="1"/>
  <c r="O36" i="1"/>
  <c r="O65" i="1" s="1"/>
  <c r="N36" i="1"/>
  <c r="L36" i="1"/>
  <c r="K36" i="1"/>
  <c r="I36" i="1"/>
  <c r="G36" i="1"/>
  <c r="E36" i="1"/>
  <c r="C36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C31" i="1"/>
  <c r="G65" i="1" l="1"/>
  <c r="N65" i="1"/>
  <c r="D65" i="1"/>
  <c r="X65" i="1"/>
  <c r="P65" i="1"/>
  <c r="R65" i="1"/>
  <c r="F65" i="1"/>
  <c r="U65" i="1"/>
  <c r="E65" i="1"/>
  <c r="T65" i="1"/>
  <c r="W65" i="1"/>
  <c r="I65" i="1"/>
  <c r="S65" i="1"/>
  <c r="C65" i="1"/>
  <c r="Q65" i="1"/>
  <c r="M65" i="1"/>
  <c r="K65" i="1"/>
  <c r="L65" i="1"/>
  <c r="V65" i="1"/>
</calcChain>
</file>

<file path=xl/sharedStrings.xml><?xml version="1.0" encoding="utf-8"?>
<sst xmlns="http://schemas.openxmlformats.org/spreadsheetml/2006/main" count="51" uniqueCount="26">
  <si>
    <t>fund_id</t>
  </si>
  <si>
    <t>payments_count</t>
  </si>
  <si>
    <t>2models_mlp_smape</t>
  </si>
  <si>
    <t>2models_catboost_rmse</t>
  </si>
  <si>
    <t>2models_catboost_smape</t>
  </si>
  <si>
    <t>2models_ens_linear_rmse</t>
  </si>
  <si>
    <t>2models_ens_linear_smape</t>
  </si>
  <si>
    <t>2models_ens_nn_rmse</t>
  </si>
  <si>
    <t>2models_ens_nn_smape</t>
  </si>
  <si>
    <t>3models_lstm_rmse</t>
  </si>
  <si>
    <t>3models_lstm_smape</t>
  </si>
  <si>
    <t>3models_lstm_mase</t>
  </si>
  <si>
    <t>3models_sarimax_rmse</t>
  </si>
  <si>
    <t>3models_sarimax_smape</t>
  </si>
  <si>
    <t>3models_sarimax_mase</t>
  </si>
  <si>
    <t>3models_catboost_rmse</t>
  </si>
  <si>
    <t>3models_catboost_smape</t>
  </si>
  <si>
    <t>3models_catboost_mase</t>
  </si>
  <si>
    <t>3models_ens_linear_rmse</t>
  </si>
  <si>
    <t>3models_ens_linear_smape</t>
  </si>
  <si>
    <t>3models_ens_linear_mase</t>
  </si>
  <si>
    <t>3models_ens_nn_rmse</t>
  </si>
  <si>
    <t>3models_ens_nn_smape</t>
  </si>
  <si>
    <t>3models_ens_nn_mase</t>
  </si>
  <si>
    <t>среднее</t>
  </si>
  <si>
    <t>Normalized_RMSE: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</si>
</sst>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8" fillId="33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D623-3589-4A44-AF25-59F0E2F8B906}">
  <dimension ref="A1:X65"/>
  <sheetViews>
    <sheetView tabSelected="1" topLeftCell="A27" workbookViewId="0">
      <selection activeCell="F22" sqref="F22"/>
    </sheetView>
  </sheetViews>
  <sheetFormatPr baseColWidth="10" defaultRowHeight="16" x14ac:dyDescent="0.2"/>
  <cols>
    <col min="2" max="2" width="15" customWidth="1"/>
    <col min="3" max="3" width="18.83203125" bestFit="1" customWidth="1"/>
    <col min="4" max="4" width="17.83203125" style="3" bestFit="1" customWidth="1"/>
    <col min="5" max="5" width="17.83203125" bestFit="1" customWidth="1"/>
    <col min="6" max="6" width="18.83203125" style="3" bestFit="1" customWidth="1"/>
    <col min="7" max="7" width="17.83203125" bestFit="1" customWidth="1"/>
    <col min="8" max="8" width="17.83203125" style="3" bestFit="1" customWidth="1"/>
    <col min="9" max="9" width="18.83203125" bestFit="1" customWidth="1"/>
    <col min="10" max="10" width="17.83203125" style="3" bestFit="1" customWidth="1"/>
    <col min="11" max="11" width="17.83203125" bestFit="1" customWidth="1"/>
    <col min="12" max="12" width="18.83203125" bestFit="1" customWidth="1"/>
    <col min="13" max="13" width="17.83203125" style="3" bestFit="1" customWidth="1"/>
    <col min="14" max="15" width="18.83203125" bestFit="1" customWidth="1"/>
    <col min="16" max="16" width="17.83203125" style="3" bestFit="1" customWidth="1"/>
    <col min="17" max="17" width="17.83203125" bestFit="1" customWidth="1"/>
    <col min="18" max="18" width="18.83203125" bestFit="1" customWidth="1"/>
    <col min="19" max="19" width="17.83203125" style="3" bestFit="1" customWidth="1"/>
    <col min="20" max="21" width="18.83203125" bestFit="1" customWidth="1"/>
    <col min="22" max="22" width="16.83203125" style="3" bestFit="1" customWidth="1"/>
    <col min="23" max="24" width="18.83203125" bestFit="1" customWidth="1"/>
  </cols>
  <sheetData>
    <row r="1" spans="1:24" s="1" customFormat="1" ht="30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 spans="1:24" x14ac:dyDescent="0.2">
      <c r="A2">
        <v>804</v>
      </c>
      <c r="B2">
        <v>96616</v>
      </c>
      <c r="C2">
        <v>135.29224395751899</v>
      </c>
      <c r="D2" s="3">
        <v>6201.0051780511003</v>
      </c>
      <c r="E2">
        <v>76.633044562295098</v>
      </c>
      <c r="F2" s="3">
        <v>13844.485979467599</v>
      </c>
      <c r="G2">
        <v>95.8117550734666</v>
      </c>
      <c r="H2" s="3">
        <v>20742.571254812501</v>
      </c>
      <c r="I2">
        <v>124.87062661365501</v>
      </c>
      <c r="J2" s="3">
        <v>5349.3100489689296</v>
      </c>
      <c r="K2">
        <v>146.92534208297701</v>
      </c>
      <c r="L2">
        <v>0.60171379556840598</v>
      </c>
      <c r="M2" s="3">
        <v>6392.3527955814998</v>
      </c>
      <c r="N2">
        <v>121.618919795236</v>
      </c>
      <c r="O2">
        <v>0.80897774369873499</v>
      </c>
      <c r="P2" s="3">
        <v>5014.3103094370699</v>
      </c>
      <c r="Q2">
        <v>129.57950479628599</v>
      </c>
      <c r="R2">
        <v>0.63523215556523205</v>
      </c>
      <c r="S2" s="3">
        <v>5336.5610467016904</v>
      </c>
      <c r="T2">
        <v>127.562346520319</v>
      </c>
      <c r="U2">
        <v>0.71548190247892496</v>
      </c>
      <c r="V2" s="3">
        <v>5826.9053619125898</v>
      </c>
      <c r="W2">
        <v>135.01632358315101</v>
      </c>
      <c r="X2">
        <v>0.74405377239800596</v>
      </c>
    </row>
    <row r="3" spans="1:24" x14ac:dyDescent="0.2">
      <c r="A3">
        <v>812</v>
      </c>
      <c r="B3">
        <v>36681</v>
      </c>
      <c r="C3">
        <v>130.73290586471501</v>
      </c>
      <c r="D3" s="3">
        <v>23498.442252783399</v>
      </c>
      <c r="E3">
        <v>87.607777327169003</v>
      </c>
      <c r="F3" s="3">
        <v>21944.685625004098</v>
      </c>
      <c r="G3">
        <v>87.857706403737396</v>
      </c>
      <c r="H3" s="3">
        <v>35693.319521141799</v>
      </c>
      <c r="I3">
        <v>112.95736916457599</v>
      </c>
      <c r="J3" s="3">
        <v>25881.057165425002</v>
      </c>
      <c r="K3">
        <v>80.907618999481201</v>
      </c>
      <c r="L3">
        <v>1.8770371109177699</v>
      </c>
      <c r="M3" s="3">
        <v>29145.152188788801</v>
      </c>
      <c r="N3">
        <v>90.341470234684607</v>
      </c>
      <c r="O3">
        <v>2.1752694746185699</v>
      </c>
      <c r="P3" s="3">
        <v>24998.182017399999</v>
      </c>
      <c r="Q3">
        <v>83.589940630347698</v>
      </c>
      <c r="R3">
        <v>1.66286656025882</v>
      </c>
      <c r="S3" s="3">
        <v>26325.519952378199</v>
      </c>
      <c r="T3">
        <v>98.270309567517501</v>
      </c>
      <c r="U3">
        <v>2.4936178572546899</v>
      </c>
      <c r="V3" s="3">
        <v>27202.138491292499</v>
      </c>
      <c r="W3">
        <v>85.597292849075799</v>
      </c>
      <c r="X3">
        <v>1.85900037404561</v>
      </c>
    </row>
    <row r="4" spans="1:24" x14ac:dyDescent="0.2">
      <c r="A4">
        <v>114</v>
      </c>
      <c r="B4">
        <v>33490</v>
      </c>
      <c r="C4">
        <v>66.799706220626803</v>
      </c>
      <c r="D4" s="3">
        <v>38855.8617710158</v>
      </c>
      <c r="E4">
        <v>41.085813618979202</v>
      </c>
      <c r="F4" s="3">
        <v>37964.760901518799</v>
      </c>
      <c r="G4">
        <v>44.731071028011399</v>
      </c>
      <c r="H4" s="3">
        <v>47381.882745075498</v>
      </c>
      <c r="I4">
        <v>66.640350990700696</v>
      </c>
      <c r="J4" s="3">
        <v>47562.259996766297</v>
      </c>
      <c r="K4">
        <v>59.864836931228602</v>
      </c>
      <c r="L4">
        <v>0.66399790723844898</v>
      </c>
      <c r="M4" s="3">
        <v>35348.614765059698</v>
      </c>
      <c r="N4">
        <v>42.513449473968699</v>
      </c>
      <c r="O4">
        <v>0.43328863995184502</v>
      </c>
      <c r="P4" s="3">
        <v>38461.993721242798</v>
      </c>
      <c r="Q4">
        <v>39.091690200522201</v>
      </c>
      <c r="R4">
        <v>0.483702667735811</v>
      </c>
      <c r="S4" s="3">
        <v>52332.997114902602</v>
      </c>
      <c r="T4">
        <v>50.9444683931846</v>
      </c>
      <c r="U4">
        <v>0.71715156854779305</v>
      </c>
      <c r="V4" s="3">
        <v>34889.363311059496</v>
      </c>
      <c r="W4">
        <v>39.719062183350097</v>
      </c>
      <c r="X4">
        <v>0.411043103404861</v>
      </c>
    </row>
    <row r="5" spans="1:24" x14ac:dyDescent="0.2">
      <c r="A5">
        <v>195</v>
      </c>
      <c r="B5">
        <v>13466</v>
      </c>
      <c r="C5">
        <v>133.56039524078301</v>
      </c>
      <c r="D5" s="3">
        <v>59740.220036922299</v>
      </c>
      <c r="E5">
        <v>98.832327301106005</v>
      </c>
      <c r="F5" s="3">
        <v>60885.034077091397</v>
      </c>
      <c r="G5">
        <v>96.370342341053103</v>
      </c>
      <c r="H5" s="3">
        <v>85552.248647271699</v>
      </c>
      <c r="I5">
        <v>129.46135400221601</v>
      </c>
      <c r="J5" s="3">
        <v>58399.228488054498</v>
      </c>
      <c r="K5">
        <v>111.60036325454701</v>
      </c>
      <c r="L5">
        <v>0.62250044340033694</v>
      </c>
      <c r="M5" s="3">
        <v>61743.930017878403</v>
      </c>
      <c r="N5">
        <v>100.270734717831</v>
      </c>
      <c r="O5">
        <v>0.68961137706911402</v>
      </c>
      <c r="P5" s="3">
        <v>53941.046401904998</v>
      </c>
      <c r="Q5">
        <v>97.591320566115201</v>
      </c>
      <c r="R5">
        <v>0.58140422201758102</v>
      </c>
      <c r="S5" s="3">
        <v>55334.902695711702</v>
      </c>
      <c r="T5">
        <v>102.99860211206899</v>
      </c>
      <c r="U5">
        <v>0.54892495840614697</v>
      </c>
      <c r="V5" s="3">
        <v>57592.3923278929</v>
      </c>
      <c r="W5">
        <v>97.692783580505505</v>
      </c>
      <c r="X5">
        <v>0.62521331673712899</v>
      </c>
    </row>
    <row r="6" spans="1:24" x14ac:dyDescent="0.2">
      <c r="A6">
        <v>722</v>
      </c>
      <c r="B6">
        <v>7994</v>
      </c>
      <c r="C6">
        <v>138.00899982452299</v>
      </c>
      <c r="D6" s="3">
        <v>214309.30470634301</v>
      </c>
      <c r="E6">
        <v>112.94881044609301</v>
      </c>
      <c r="F6" s="3">
        <v>237126.44734821501</v>
      </c>
      <c r="G6">
        <v>120.33204126678299</v>
      </c>
      <c r="H6" s="3">
        <v>201634.08404744999</v>
      </c>
      <c r="I6">
        <v>133.84492247044</v>
      </c>
      <c r="J6" s="3">
        <v>289432.10160588601</v>
      </c>
      <c r="K6">
        <v>131.71762228012</v>
      </c>
      <c r="L6">
        <v>1.05162464024751</v>
      </c>
      <c r="M6" s="3">
        <v>216823.902362956</v>
      </c>
      <c r="N6">
        <v>119.58094322038301</v>
      </c>
      <c r="O6">
        <v>0.83321798769566302</v>
      </c>
      <c r="P6" s="3">
        <v>182813.280039195</v>
      </c>
      <c r="Q6">
        <v>111.87071087664199</v>
      </c>
      <c r="R6">
        <v>0.67440835367403895</v>
      </c>
      <c r="S6" s="3">
        <v>196070.84917301501</v>
      </c>
      <c r="T6">
        <v>115.369676692401</v>
      </c>
      <c r="U6">
        <v>0.73162708756469297</v>
      </c>
      <c r="V6" s="3">
        <v>203039.82524023199</v>
      </c>
      <c r="W6">
        <v>117.79067267034</v>
      </c>
      <c r="X6">
        <v>0.77244962930138505</v>
      </c>
    </row>
    <row r="7" spans="1:24" x14ac:dyDescent="0.2">
      <c r="A7">
        <v>185</v>
      </c>
      <c r="B7">
        <v>7159</v>
      </c>
      <c r="C7">
        <v>101.944243907928</v>
      </c>
      <c r="D7" s="3">
        <v>35077.545009973197</v>
      </c>
      <c r="E7">
        <v>85.136474638671203</v>
      </c>
      <c r="F7" s="3">
        <v>42171.295579060403</v>
      </c>
      <c r="G7">
        <v>113.652621209315</v>
      </c>
      <c r="H7" s="3">
        <v>43173.615660157098</v>
      </c>
      <c r="I7">
        <v>101.988273099427</v>
      </c>
      <c r="J7" s="3">
        <v>30313.524374443801</v>
      </c>
      <c r="K7">
        <v>92.052161693572998</v>
      </c>
      <c r="L7">
        <v>0.77766833665176405</v>
      </c>
      <c r="M7" s="3">
        <v>32440.762038593901</v>
      </c>
      <c r="N7">
        <v>103.735996614203</v>
      </c>
      <c r="O7">
        <v>1.0375756842633601</v>
      </c>
      <c r="P7" s="3">
        <v>31880.600174510899</v>
      </c>
      <c r="Q7">
        <v>95.406463860306204</v>
      </c>
      <c r="R7">
        <v>0.83072380162034398</v>
      </c>
      <c r="S7" s="3">
        <v>28327.327992504201</v>
      </c>
      <c r="T7">
        <v>92.503738067024202</v>
      </c>
      <c r="U7">
        <v>0.701846183800236</v>
      </c>
      <c r="V7" s="3">
        <v>32708.485584687201</v>
      </c>
      <c r="W7">
        <v>103.603675956673</v>
      </c>
      <c r="X7">
        <v>0.99026438156516405</v>
      </c>
    </row>
    <row r="8" spans="1:24" x14ac:dyDescent="0.2">
      <c r="A8">
        <v>890</v>
      </c>
      <c r="B8">
        <v>6098</v>
      </c>
      <c r="C8">
        <v>89.977908134460407</v>
      </c>
      <c r="D8" s="3">
        <v>6370.1861274352996</v>
      </c>
      <c r="E8">
        <v>57.417843271744999</v>
      </c>
      <c r="F8" s="3">
        <v>6542.8462994986403</v>
      </c>
      <c r="G8">
        <v>53.246531990063303</v>
      </c>
      <c r="H8" s="3">
        <v>9399.2507598062202</v>
      </c>
      <c r="I8">
        <v>89.742235308232907</v>
      </c>
      <c r="J8" s="3">
        <v>11337.5157772767</v>
      </c>
      <c r="K8">
        <v>76.317697763442993</v>
      </c>
      <c r="L8">
        <v>0.88463738060981201</v>
      </c>
      <c r="M8" s="3">
        <v>6891.7187501672197</v>
      </c>
      <c r="N8">
        <v>58.196458228074803</v>
      </c>
      <c r="O8">
        <v>0.49525010052523699</v>
      </c>
      <c r="P8" s="3">
        <v>6374.30994678549</v>
      </c>
      <c r="Q8">
        <v>60.0811945360133</v>
      </c>
      <c r="R8">
        <v>0.53853057459129605</v>
      </c>
      <c r="S8" s="3">
        <v>8307.7430126742292</v>
      </c>
      <c r="T8">
        <v>69.758475445471106</v>
      </c>
      <c r="U8">
        <v>0.61275177317779195</v>
      </c>
      <c r="V8" s="3">
        <v>8082.9638662971402</v>
      </c>
      <c r="W8">
        <v>88.694767010300595</v>
      </c>
      <c r="X8">
        <v>0.62651090496996298</v>
      </c>
    </row>
    <row r="9" spans="1:24" x14ac:dyDescent="0.2">
      <c r="A9">
        <v>237</v>
      </c>
      <c r="B9">
        <v>5792</v>
      </c>
      <c r="C9">
        <v>148.408651351928</v>
      </c>
      <c r="D9" s="3">
        <v>51318.108094621697</v>
      </c>
      <c r="E9">
        <v>105.3756038241</v>
      </c>
      <c r="F9" s="3">
        <v>45070.767651808303</v>
      </c>
      <c r="G9">
        <v>129.70082255788799</v>
      </c>
      <c r="H9" s="3">
        <v>49018.267927017601</v>
      </c>
      <c r="I9">
        <v>137.43264390477299</v>
      </c>
      <c r="J9" s="3">
        <v>22685.342580617998</v>
      </c>
      <c r="K9">
        <v>128.630173206329</v>
      </c>
      <c r="L9">
        <v>0.57654011454548704</v>
      </c>
      <c r="M9" s="3">
        <v>23070.9897733209</v>
      </c>
      <c r="N9">
        <v>123.766882491291</v>
      </c>
      <c r="O9">
        <v>0.53021795210494505</v>
      </c>
      <c r="P9" s="3">
        <v>21924.9632444249</v>
      </c>
      <c r="Q9">
        <v>111.138689068226</v>
      </c>
      <c r="R9">
        <v>0.62655088890993804</v>
      </c>
      <c r="S9" s="3">
        <v>23150.723017513599</v>
      </c>
      <c r="T9">
        <v>121.521103646086</v>
      </c>
      <c r="U9">
        <v>0.65647852410196705</v>
      </c>
      <c r="V9" s="3">
        <v>23345.1963561255</v>
      </c>
      <c r="W9">
        <v>114.351517821364</v>
      </c>
      <c r="X9">
        <v>0.55861976472971897</v>
      </c>
    </row>
    <row r="10" spans="1:24" x14ac:dyDescent="0.2">
      <c r="A10">
        <v>888</v>
      </c>
      <c r="B10">
        <v>4621</v>
      </c>
      <c r="C10">
        <v>111.54049634933401</v>
      </c>
      <c r="D10" s="3">
        <v>10756.394396137301</v>
      </c>
      <c r="E10">
        <v>95.290713255561499</v>
      </c>
      <c r="F10" s="3">
        <v>10836.410452279601</v>
      </c>
      <c r="G10">
        <v>76.669940062459503</v>
      </c>
      <c r="H10" s="3">
        <v>12527.032715986899</v>
      </c>
      <c r="I10">
        <v>115.08411067312601</v>
      </c>
      <c r="J10" s="3">
        <v>6913.8490003759798</v>
      </c>
      <c r="K10">
        <v>110.859489440917</v>
      </c>
      <c r="L10">
        <v>0.66413940392617199</v>
      </c>
      <c r="M10" s="3">
        <v>5036.2184129450998</v>
      </c>
      <c r="N10">
        <v>96.403316844402696</v>
      </c>
      <c r="O10">
        <v>0.54947203951392798</v>
      </c>
      <c r="P10" s="3">
        <v>5474.1674117153798</v>
      </c>
      <c r="Q10">
        <v>94.292088533013597</v>
      </c>
      <c r="R10">
        <v>0.62027262278502604</v>
      </c>
      <c r="S10" s="3">
        <v>4935.26484804745</v>
      </c>
      <c r="T10">
        <v>100.005353197948</v>
      </c>
      <c r="U10">
        <v>0.61265506069772402</v>
      </c>
      <c r="V10" s="3">
        <v>5247.3317850345702</v>
      </c>
      <c r="W10">
        <v>98.546972118031206</v>
      </c>
      <c r="X10">
        <v>0.53147098308324203</v>
      </c>
    </row>
    <row r="11" spans="1:24" x14ac:dyDescent="0.2">
      <c r="A11">
        <v>827</v>
      </c>
      <c r="B11">
        <v>4365</v>
      </c>
      <c r="C11">
        <v>115.47007560729899</v>
      </c>
      <c r="D11" s="3">
        <v>106989.294195165</v>
      </c>
      <c r="E11">
        <v>74.568915404769697</v>
      </c>
      <c r="F11" s="3">
        <v>126037.484768984</v>
      </c>
      <c r="G11">
        <v>98.045980279204798</v>
      </c>
      <c r="H11" s="3">
        <v>144808.16773805299</v>
      </c>
      <c r="I11">
        <v>117.648470183897</v>
      </c>
      <c r="J11" s="3">
        <v>63925.300406020702</v>
      </c>
      <c r="K11">
        <v>96.397268772125202</v>
      </c>
      <c r="L11">
        <v>1.02131098330808</v>
      </c>
      <c r="M11" s="3">
        <v>73682.501391020196</v>
      </c>
      <c r="N11">
        <v>102.410195525136</v>
      </c>
      <c r="O11">
        <v>1.2093111861207999</v>
      </c>
      <c r="P11" s="3">
        <v>77359.236498092403</v>
      </c>
      <c r="Q11">
        <v>100.63636455839401</v>
      </c>
      <c r="R11">
        <v>1.1918982600910699</v>
      </c>
      <c r="S11" s="3">
        <v>79399.031915921703</v>
      </c>
      <c r="T11">
        <v>101.65099597335499</v>
      </c>
      <c r="U11">
        <v>1.2277705431433099</v>
      </c>
      <c r="V11" s="3">
        <v>77478.681697460197</v>
      </c>
      <c r="W11">
        <v>103.50100137846501</v>
      </c>
      <c r="X11">
        <v>1.19566431523351</v>
      </c>
    </row>
    <row r="12" spans="1:24" x14ac:dyDescent="0.2">
      <c r="A12">
        <v>279</v>
      </c>
      <c r="B12">
        <v>3961</v>
      </c>
      <c r="C12">
        <v>140.484869480133</v>
      </c>
      <c r="D12" s="3">
        <v>44398.6771052939</v>
      </c>
      <c r="E12">
        <v>100.06099093418</v>
      </c>
      <c r="F12" s="3">
        <v>46499.865426449098</v>
      </c>
      <c r="G12">
        <v>104.198327841394</v>
      </c>
      <c r="H12" s="3">
        <v>99370.386163310293</v>
      </c>
      <c r="I12">
        <v>141.30382972134601</v>
      </c>
      <c r="J12" s="3">
        <v>57445.479404388199</v>
      </c>
      <c r="K12">
        <v>116.873490810394</v>
      </c>
      <c r="L12">
        <v>0.89387149926360199</v>
      </c>
      <c r="M12" s="3">
        <v>34499.568050340204</v>
      </c>
      <c r="N12">
        <v>91.364041413681093</v>
      </c>
      <c r="O12">
        <v>0.57707656543660402</v>
      </c>
      <c r="P12" s="3">
        <v>38064.299531520999</v>
      </c>
      <c r="Q12">
        <v>102.357701167279</v>
      </c>
      <c r="R12">
        <v>0.64422816998750099</v>
      </c>
      <c r="S12" s="3">
        <v>103599.636456272</v>
      </c>
      <c r="T12">
        <v>124.429352034324</v>
      </c>
      <c r="U12">
        <v>1.5786895383516599</v>
      </c>
      <c r="V12" s="3">
        <v>33981.674389117397</v>
      </c>
      <c r="W12">
        <v>93.848150853884803</v>
      </c>
      <c r="X12">
        <v>0.55200828711099204</v>
      </c>
    </row>
    <row r="13" spans="1:24" x14ac:dyDescent="0.2">
      <c r="A13">
        <v>172</v>
      </c>
      <c r="B13">
        <v>3483</v>
      </c>
      <c r="C13">
        <v>135.945582389831</v>
      </c>
      <c r="D13" s="3">
        <v>9201.9320563190104</v>
      </c>
      <c r="E13">
        <v>127.239224827423</v>
      </c>
      <c r="F13" s="3">
        <v>9430.8284514790103</v>
      </c>
      <c r="G13">
        <v>125.29317615881401</v>
      </c>
      <c r="H13" s="3">
        <v>9837.5097462765698</v>
      </c>
      <c r="I13">
        <v>124.222292615642</v>
      </c>
      <c r="J13" s="3">
        <v>10129.284673657799</v>
      </c>
      <c r="K13">
        <v>113.20210695266699</v>
      </c>
      <c r="L13">
        <v>0.69453502064843597</v>
      </c>
      <c r="M13" s="3">
        <v>8219.3021901379998</v>
      </c>
      <c r="N13">
        <v>114.972236995706</v>
      </c>
      <c r="O13">
        <v>0.65077951294165304</v>
      </c>
      <c r="P13" s="3">
        <v>8760.2404432139901</v>
      </c>
      <c r="Q13">
        <v>123.86029724198799</v>
      </c>
      <c r="R13">
        <v>0.75305684688113494</v>
      </c>
      <c r="S13" s="3">
        <v>9395.9359833218805</v>
      </c>
      <c r="T13">
        <v>125.75362722898799</v>
      </c>
      <c r="U13">
        <v>0.81922691508266399</v>
      </c>
      <c r="V13" s="3">
        <v>8474.4402036391402</v>
      </c>
      <c r="W13">
        <v>115.559862513445</v>
      </c>
      <c r="X13">
        <v>0.64078675779153704</v>
      </c>
    </row>
    <row r="14" spans="1:24" x14ac:dyDescent="0.2">
      <c r="A14">
        <v>98</v>
      </c>
      <c r="B14">
        <v>3353</v>
      </c>
      <c r="C14">
        <v>128.672337532043</v>
      </c>
      <c r="D14" s="3">
        <v>6764.6610134948196</v>
      </c>
      <c r="E14">
        <v>108.518836015673</v>
      </c>
      <c r="F14" s="3">
        <v>7157.6362105067801</v>
      </c>
      <c r="G14">
        <v>100.387582866169</v>
      </c>
      <c r="H14" s="3">
        <v>6897.63518304425</v>
      </c>
      <c r="I14">
        <v>118.30291235061</v>
      </c>
      <c r="J14" s="3">
        <v>7102.2455603844001</v>
      </c>
      <c r="K14">
        <v>197.14231491088799</v>
      </c>
      <c r="L14">
        <v>2.52822329315581</v>
      </c>
      <c r="M14" s="3">
        <v>1021.71897907121</v>
      </c>
      <c r="N14">
        <v>198.655282308875</v>
      </c>
      <c r="O14">
        <v>0.34840919764515299</v>
      </c>
      <c r="P14" s="3">
        <v>2142.2316789597498</v>
      </c>
      <c r="Q14">
        <v>194.314928147572</v>
      </c>
      <c r="R14">
        <v>0.85791869228458795</v>
      </c>
      <c r="S14" s="3">
        <v>1929.9249967236101</v>
      </c>
      <c r="T14">
        <v>194.40492231220199</v>
      </c>
      <c r="U14">
        <v>0.62201967979365202</v>
      </c>
      <c r="V14" s="3">
        <v>851.03935292606798</v>
      </c>
      <c r="W14">
        <v>200</v>
      </c>
      <c r="X14">
        <v>0.28084698149159698</v>
      </c>
    </row>
    <row r="15" spans="1:24" x14ac:dyDescent="0.2">
      <c r="A15">
        <v>838</v>
      </c>
      <c r="B15">
        <v>3067</v>
      </c>
      <c r="C15">
        <v>116.60376787185599</v>
      </c>
      <c r="D15" s="3">
        <v>10770.0891360846</v>
      </c>
      <c r="E15">
        <v>69.833062539563002</v>
      </c>
      <c r="F15" s="3">
        <v>16513.815800053399</v>
      </c>
      <c r="G15">
        <v>88.844162979500993</v>
      </c>
      <c r="H15" s="3">
        <v>10869.603495155399</v>
      </c>
      <c r="I15">
        <v>93.948733425031506</v>
      </c>
      <c r="J15" s="3">
        <v>13355.252449879001</v>
      </c>
      <c r="K15">
        <v>117.800438404083</v>
      </c>
      <c r="L15">
        <v>1.1406077802586201</v>
      </c>
      <c r="M15" s="3">
        <v>10118.810978817801</v>
      </c>
      <c r="N15">
        <v>96.573023574976304</v>
      </c>
      <c r="O15">
        <v>1.0686986186384599</v>
      </c>
      <c r="P15" s="3">
        <v>7966.6743789362899</v>
      </c>
      <c r="Q15">
        <v>87.033742408132397</v>
      </c>
      <c r="R15">
        <v>0.84633040883958699</v>
      </c>
      <c r="S15" s="3">
        <v>11251.5948657603</v>
      </c>
      <c r="T15">
        <v>93.652433264245204</v>
      </c>
      <c r="U15">
        <v>1.1914033490362299</v>
      </c>
      <c r="V15" s="3">
        <v>9841.0265247179796</v>
      </c>
      <c r="W15">
        <v>94.682385754964599</v>
      </c>
      <c r="X15">
        <v>1.0282509248654499</v>
      </c>
    </row>
    <row r="16" spans="1:24" x14ac:dyDescent="0.2">
      <c r="A16">
        <v>822</v>
      </c>
      <c r="B16">
        <v>3032</v>
      </c>
      <c r="C16">
        <v>87.329906225204397</v>
      </c>
      <c r="D16" s="3">
        <v>85167.916233937096</v>
      </c>
      <c r="E16">
        <v>66.8193958736897</v>
      </c>
      <c r="F16" s="3">
        <v>89133.481805740405</v>
      </c>
      <c r="G16">
        <v>75.115162869265006</v>
      </c>
      <c r="H16" s="3">
        <v>92828.030439259004</v>
      </c>
      <c r="I16">
        <v>76.525916555625301</v>
      </c>
      <c r="J16" s="3">
        <v>18900.013121688498</v>
      </c>
      <c r="K16">
        <v>119.382894039154</v>
      </c>
      <c r="L16">
        <v>0.54348057655830395</v>
      </c>
      <c r="M16" s="3">
        <v>27464.9795929213</v>
      </c>
      <c r="N16">
        <v>117.853039235164</v>
      </c>
      <c r="O16">
        <v>0.73394217883056201</v>
      </c>
      <c r="P16" s="3">
        <v>21539.628465699599</v>
      </c>
      <c r="Q16">
        <v>111.66844619485801</v>
      </c>
      <c r="R16">
        <v>0.62827794775077395</v>
      </c>
      <c r="S16" s="3">
        <v>23538.0124735389</v>
      </c>
      <c r="T16">
        <v>114.554320668402</v>
      </c>
      <c r="U16">
        <v>0.74000009907421005</v>
      </c>
      <c r="V16" s="3">
        <v>25350.266538951899</v>
      </c>
      <c r="W16">
        <v>118.161861569092</v>
      </c>
      <c r="X16">
        <v>0.62439101374906703</v>
      </c>
    </row>
    <row r="17" spans="1:24" x14ac:dyDescent="0.2">
      <c r="A17">
        <v>749</v>
      </c>
      <c r="B17">
        <v>2932</v>
      </c>
      <c r="C17">
        <v>145.10371685027999</v>
      </c>
      <c r="D17" s="3">
        <v>29043.009897592299</v>
      </c>
      <c r="E17">
        <v>103.613624658455</v>
      </c>
      <c r="F17" s="3">
        <v>49203.493550504303</v>
      </c>
      <c r="G17">
        <v>120.793880881535</v>
      </c>
      <c r="H17" s="3">
        <v>83170.648871621801</v>
      </c>
      <c r="I17">
        <v>145.42549795475799</v>
      </c>
      <c r="J17" s="3">
        <v>56724.0438614878</v>
      </c>
      <c r="K17">
        <v>142.69176721572799</v>
      </c>
      <c r="L17">
        <v>2.2254973643268898</v>
      </c>
      <c r="M17" s="3">
        <v>20806.368440071801</v>
      </c>
      <c r="N17">
        <v>122.746931940472</v>
      </c>
      <c r="O17">
        <v>0.872297534848536</v>
      </c>
      <c r="P17" s="3">
        <v>23884.381668083301</v>
      </c>
      <c r="Q17">
        <v>124.541116017801</v>
      </c>
      <c r="R17">
        <v>0.95465010069008005</v>
      </c>
      <c r="S17" s="3">
        <v>22252.546960498301</v>
      </c>
      <c r="T17">
        <v>126.762040171791</v>
      </c>
      <c r="U17">
        <v>1.0273589166272199</v>
      </c>
      <c r="V17" s="3">
        <v>20508.994832917499</v>
      </c>
      <c r="W17">
        <v>123.957638417141</v>
      </c>
      <c r="X17">
        <v>0.83469925148025703</v>
      </c>
    </row>
    <row r="18" spans="1:24" x14ac:dyDescent="0.2">
      <c r="A18">
        <v>782</v>
      </c>
      <c r="B18">
        <v>1679</v>
      </c>
      <c r="C18">
        <v>154.70222234725901</v>
      </c>
      <c r="D18" s="3">
        <v>21731.621377237501</v>
      </c>
      <c r="E18">
        <v>118.638673008477</v>
      </c>
      <c r="F18" s="3">
        <v>22582.598302075301</v>
      </c>
      <c r="G18">
        <v>122.785517896423</v>
      </c>
      <c r="H18" s="3">
        <v>26994.845951088799</v>
      </c>
      <c r="I18">
        <v>149.785598550717</v>
      </c>
      <c r="J18" s="3">
        <v>17309.6865367342</v>
      </c>
      <c r="K18">
        <v>121.641755104064</v>
      </c>
      <c r="L18">
        <v>0.70459194091299004</v>
      </c>
      <c r="M18" s="3">
        <v>20223.990366794598</v>
      </c>
      <c r="N18">
        <v>118.357695706022</v>
      </c>
      <c r="O18">
        <v>0.72728031735915799</v>
      </c>
      <c r="P18" s="3">
        <v>19656.5007529865</v>
      </c>
      <c r="Q18">
        <v>119.140485356266</v>
      </c>
      <c r="R18">
        <v>0.74299424742799203</v>
      </c>
      <c r="S18" s="3">
        <v>17613.037513348801</v>
      </c>
      <c r="T18">
        <v>111.893030424092</v>
      </c>
      <c r="U18">
        <v>0.62833019417997904</v>
      </c>
      <c r="V18" s="3">
        <v>20035.458852903001</v>
      </c>
      <c r="W18">
        <v>124.432423854001</v>
      </c>
      <c r="X18">
        <v>0.71925477902944301</v>
      </c>
    </row>
    <row r="19" spans="1:24" x14ac:dyDescent="0.2">
      <c r="A19">
        <v>709</v>
      </c>
      <c r="B19">
        <v>1404</v>
      </c>
      <c r="C19">
        <v>151.33816003799399</v>
      </c>
      <c r="D19" s="3">
        <v>2981.57557123985</v>
      </c>
      <c r="E19">
        <v>149.68060742710799</v>
      </c>
      <c r="F19" s="3">
        <v>1870.9756791104201</v>
      </c>
      <c r="G19">
        <v>117.483850880643</v>
      </c>
      <c r="H19" s="3">
        <v>1298.6120364819801</v>
      </c>
      <c r="I19">
        <v>121.880941494523</v>
      </c>
      <c r="J19" s="3">
        <v>2324.3657199330701</v>
      </c>
      <c r="K19">
        <v>144.94403600692701</v>
      </c>
      <c r="L19">
        <v>4.7057913814140401E-2</v>
      </c>
      <c r="M19" s="3">
        <v>1053.4384515878801</v>
      </c>
      <c r="N19">
        <v>136.04296565472299</v>
      </c>
      <c r="O19">
        <v>1.74429624954297E-2</v>
      </c>
      <c r="P19" s="3">
        <v>2872.2250928574499</v>
      </c>
      <c r="Q19">
        <v>175.41944678107299</v>
      </c>
      <c r="R19">
        <v>6.0279135984791003E-2</v>
      </c>
      <c r="S19" s="3">
        <v>726.97833498511795</v>
      </c>
      <c r="T19">
        <v>129.921092774801</v>
      </c>
      <c r="U19">
        <v>1.08118721303074E-2</v>
      </c>
      <c r="V19" s="3">
        <v>869.81026422390596</v>
      </c>
      <c r="W19">
        <v>179.93916455162301</v>
      </c>
      <c r="X19">
        <v>1.4185505350560099E-2</v>
      </c>
    </row>
    <row r="20" spans="1:24" x14ac:dyDescent="0.2">
      <c r="A20">
        <v>47</v>
      </c>
      <c r="B20">
        <v>1358</v>
      </c>
      <c r="C20">
        <v>117.797064781188</v>
      </c>
      <c r="D20" s="3">
        <v>7528.2464857259401</v>
      </c>
      <c r="E20">
        <v>108.642454975741</v>
      </c>
      <c r="F20" s="3">
        <v>10397.725714214601</v>
      </c>
      <c r="G20">
        <v>120.138950053352</v>
      </c>
      <c r="H20" s="3">
        <v>5845.1822947862102</v>
      </c>
      <c r="I20">
        <v>105.413201213779</v>
      </c>
      <c r="J20" s="3">
        <v>6651.9744437272102</v>
      </c>
      <c r="K20">
        <v>125.505709648132</v>
      </c>
      <c r="L20">
        <v>0.52649088605069305</v>
      </c>
      <c r="M20" s="3">
        <v>6100.4423745812301</v>
      </c>
      <c r="N20">
        <v>128.55805120079</v>
      </c>
      <c r="O20">
        <v>0.59459657627277496</v>
      </c>
      <c r="P20" s="3">
        <v>6529.9225592736002</v>
      </c>
      <c r="Q20">
        <v>130.888065252226</v>
      </c>
      <c r="R20">
        <v>0.67436846941911899</v>
      </c>
      <c r="S20" s="3">
        <v>9581.9948247225602</v>
      </c>
      <c r="T20">
        <v>128.548743360342</v>
      </c>
      <c r="U20">
        <v>0.90694977543061595</v>
      </c>
      <c r="V20" s="3">
        <v>5469.2405461569497</v>
      </c>
      <c r="W20">
        <v>123.695009027149</v>
      </c>
      <c r="X20">
        <v>0.53367258989328503</v>
      </c>
    </row>
    <row r="21" spans="1:24" x14ac:dyDescent="0.2">
      <c r="A21">
        <v>123</v>
      </c>
      <c r="B21">
        <v>1250</v>
      </c>
      <c r="C21">
        <v>134.43105220794601</v>
      </c>
      <c r="D21" s="3">
        <v>11068.3261312093</v>
      </c>
      <c r="E21">
        <v>103.327607868361</v>
      </c>
      <c r="F21" s="3">
        <v>11689.6016478043</v>
      </c>
      <c r="G21">
        <v>109.89955625333801</v>
      </c>
      <c r="H21" s="3">
        <v>13773.264483205599</v>
      </c>
      <c r="I21">
        <v>154.40470849437699</v>
      </c>
      <c r="J21" s="3">
        <v>12626.787398226001</v>
      </c>
      <c r="K21">
        <v>144.432950019836</v>
      </c>
      <c r="L21">
        <v>1.2460878895726499</v>
      </c>
      <c r="M21" s="3">
        <v>10212.7765238843</v>
      </c>
      <c r="N21">
        <v>122.037437170256</v>
      </c>
      <c r="O21">
        <v>1.0036738756036701</v>
      </c>
      <c r="P21" s="3">
        <v>10139.399592806099</v>
      </c>
      <c r="Q21">
        <v>124.61241285371401</v>
      </c>
      <c r="R21">
        <v>1.0213581729063499</v>
      </c>
      <c r="S21" s="3">
        <v>10997.5087329302</v>
      </c>
      <c r="T21">
        <v>124.030856643213</v>
      </c>
      <c r="U21">
        <v>1.00943303863156</v>
      </c>
      <c r="V21" s="3">
        <v>10358.223705986</v>
      </c>
      <c r="W21">
        <v>118.03456551110401</v>
      </c>
      <c r="X21">
        <v>0.94362754517686398</v>
      </c>
    </row>
    <row r="22" spans="1:24" x14ac:dyDescent="0.2">
      <c r="A22">
        <v>724</v>
      </c>
      <c r="B22">
        <v>1203</v>
      </c>
      <c r="C22">
        <v>66.011899709701495</v>
      </c>
      <c r="D22" s="3">
        <v>4384.2639454609898</v>
      </c>
      <c r="E22">
        <v>52.533057137263</v>
      </c>
      <c r="F22" s="3">
        <v>4590.1166110569702</v>
      </c>
      <c r="G22">
        <v>57.703243994080601</v>
      </c>
      <c r="H22" s="3">
        <v>4709.9043627045703</v>
      </c>
      <c r="I22">
        <v>64.605695537749995</v>
      </c>
      <c r="J22" s="3">
        <v>6105.4673858763599</v>
      </c>
      <c r="K22">
        <v>74.324673414230304</v>
      </c>
      <c r="L22">
        <v>0.90471034257557903</v>
      </c>
      <c r="M22" s="3">
        <v>4957.2094735196997</v>
      </c>
      <c r="N22">
        <v>63.221293330704903</v>
      </c>
      <c r="O22">
        <v>0.78321939148836595</v>
      </c>
      <c r="P22" s="3">
        <v>4529.9643074242804</v>
      </c>
      <c r="Q22">
        <v>58.480188139132999</v>
      </c>
      <c r="R22">
        <v>0.69167804184465698</v>
      </c>
      <c r="S22" s="3">
        <v>4498.94631201013</v>
      </c>
      <c r="T22">
        <v>60.435498919540201</v>
      </c>
      <c r="U22">
        <v>0.73599787686661899</v>
      </c>
      <c r="V22" s="3">
        <v>4583.0192012983398</v>
      </c>
      <c r="W22">
        <v>58.058397141961301</v>
      </c>
      <c r="X22">
        <v>0.68920877747931497</v>
      </c>
    </row>
    <row r="23" spans="1:24" x14ac:dyDescent="0.2">
      <c r="A23">
        <v>792</v>
      </c>
      <c r="B23">
        <v>1097</v>
      </c>
      <c r="C23">
        <v>79.760813713073702</v>
      </c>
      <c r="D23" s="3">
        <v>26568.7738152251</v>
      </c>
      <c r="E23">
        <v>67.187267073702401</v>
      </c>
      <c r="F23" s="3">
        <v>26369.3606474404</v>
      </c>
      <c r="G23">
        <v>70.731785446937295</v>
      </c>
      <c r="H23" s="3">
        <v>30269.224153020299</v>
      </c>
      <c r="I23">
        <v>78.286205018714497</v>
      </c>
      <c r="J23" s="3">
        <v>18554.844973752799</v>
      </c>
      <c r="K23">
        <v>104.033279418945</v>
      </c>
      <c r="L23">
        <v>0.88079189761880805</v>
      </c>
      <c r="M23" s="3">
        <v>16734.352697657101</v>
      </c>
      <c r="N23">
        <v>94.133718043341204</v>
      </c>
      <c r="O23">
        <v>0.81571525524371902</v>
      </c>
      <c r="P23" s="3">
        <v>17336.8332454257</v>
      </c>
      <c r="Q23">
        <v>98.419952267252498</v>
      </c>
      <c r="R23">
        <v>0.82589545073096404</v>
      </c>
      <c r="S23" s="3">
        <v>16124.787161308899</v>
      </c>
      <c r="T23">
        <v>88.123915811447603</v>
      </c>
      <c r="U23">
        <v>0.73181855951542096</v>
      </c>
      <c r="V23" s="3">
        <v>16851.255041966899</v>
      </c>
      <c r="W23">
        <v>95.175865444042202</v>
      </c>
      <c r="X23">
        <v>0.811830729269578</v>
      </c>
    </row>
    <row r="24" spans="1:24" x14ac:dyDescent="0.2">
      <c r="A24">
        <v>777</v>
      </c>
      <c r="B24">
        <v>687</v>
      </c>
      <c r="C24">
        <v>148.65896701812699</v>
      </c>
      <c r="D24" s="3">
        <v>7823.6842435070103</v>
      </c>
      <c r="E24">
        <v>122.70732008637</v>
      </c>
      <c r="F24" s="3">
        <v>7023.3956836466696</v>
      </c>
      <c r="G24">
        <v>117.646081815646</v>
      </c>
      <c r="H24" s="3">
        <v>7914.0373620209702</v>
      </c>
      <c r="I24">
        <v>106.277995002899</v>
      </c>
      <c r="J24" s="3">
        <v>3910.3515187256498</v>
      </c>
      <c r="K24">
        <v>156.89851045608501</v>
      </c>
      <c r="L24">
        <v>0.93940878809886796</v>
      </c>
      <c r="M24" s="3">
        <v>2559.7417961342899</v>
      </c>
      <c r="N24">
        <v>148.45549180987899</v>
      </c>
      <c r="O24">
        <v>0.83128728193778301</v>
      </c>
      <c r="P24" s="3">
        <v>3194.5247064902901</v>
      </c>
      <c r="Q24">
        <v>155.65016275410201</v>
      </c>
      <c r="R24">
        <v>1.07761428518298</v>
      </c>
      <c r="S24" s="3">
        <v>2507.6634226610199</v>
      </c>
      <c r="T24">
        <v>150.82582594017799</v>
      </c>
      <c r="U24">
        <v>0.71473181956298504</v>
      </c>
      <c r="V24" s="3">
        <v>2417.1688235698498</v>
      </c>
      <c r="W24">
        <v>147.606314401573</v>
      </c>
      <c r="X24">
        <v>0.703851432560894</v>
      </c>
    </row>
    <row r="25" spans="1:24" x14ac:dyDescent="0.2">
      <c r="A25">
        <v>197</v>
      </c>
      <c r="B25">
        <v>622</v>
      </c>
      <c r="C25">
        <v>137.20843791961599</v>
      </c>
      <c r="D25" s="3">
        <v>14465.138917800299</v>
      </c>
      <c r="E25">
        <v>110.297447110764</v>
      </c>
      <c r="F25" s="3">
        <v>22067.4887908214</v>
      </c>
      <c r="G25">
        <v>122.01955418508901</v>
      </c>
      <c r="H25" s="3">
        <v>18471.431777284</v>
      </c>
      <c r="I25">
        <v>133.770055956596</v>
      </c>
      <c r="J25" s="3">
        <v>12960.0234567688</v>
      </c>
      <c r="K25">
        <v>141.53647422790499</v>
      </c>
      <c r="L25">
        <v>0.88080082790548897</v>
      </c>
      <c r="M25" s="3">
        <v>12791.4900597368</v>
      </c>
      <c r="N25">
        <v>138.62396766183599</v>
      </c>
      <c r="O25">
        <v>0.801083913540654</v>
      </c>
      <c r="P25" s="3">
        <v>11862.8684237323</v>
      </c>
      <c r="Q25">
        <v>138.715710608748</v>
      </c>
      <c r="R25">
        <v>0.81245674730678796</v>
      </c>
      <c r="S25" s="3">
        <v>17183.588066729299</v>
      </c>
      <c r="T25">
        <v>162.26183761157799</v>
      </c>
      <c r="U25">
        <v>1.5530315522048199</v>
      </c>
      <c r="V25" s="3">
        <v>12995.240927643101</v>
      </c>
      <c r="W25">
        <v>138.11189957366</v>
      </c>
      <c r="X25">
        <v>0.76208838973752302</v>
      </c>
    </row>
    <row r="26" spans="1:24" x14ac:dyDescent="0.2">
      <c r="A26">
        <v>816</v>
      </c>
      <c r="B26">
        <v>619</v>
      </c>
      <c r="C26">
        <v>78.685098886489797</v>
      </c>
      <c r="D26" s="3">
        <v>4887.8100000000004</v>
      </c>
      <c r="E26">
        <v>35.755389394471898</v>
      </c>
      <c r="F26" s="3">
        <v>1432.05253396123</v>
      </c>
      <c r="G26">
        <v>13.6253546585612</v>
      </c>
      <c r="H26" s="3">
        <v>9294.7787060546798</v>
      </c>
      <c r="I26">
        <v>141.28292817567799</v>
      </c>
      <c r="J26" s="3">
        <v>14206.004927494499</v>
      </c>
      <c r="K26">
        <v>180.72794675827001</v>
      </c>
      <c r="L26">
        <v>0.97839806156125297</v>
      </c>
      <c r="M26" s="3">
        <v>5795.9403481567797</v>
      </c>
      <c r="N26">
        <v>165.115785363583</v>
      </c>
      <c r="O26">
        <v>0.376105930738172</v>
      </c>
      <c r="P26" s="3">
        <v>11211.2062961473</v>
      </c>
      <c r="Q26">
        <v>187.52951026932001</v>
      </c>
      <c r="R26">
        <v>0.77131816783321605</v>
      </c>
      <c r="S26" s="3">
        <v>7271.7445836071101</v>
      </c>
      <c r="T26">
        <v>179.389870103319</v>
      </c>
      <c r="U26">
        <v>0.53053775839263395</v>
      </c>
      <c r="V26" s="3">
        <v>5525.8886609128604</v>
      </c>
      <c r="W26">
        <v>175.461887997254</v>
      </c>
      <c r="X26">
        <v>0.34995795254200901</v>
      </c>
    </row>
    <row r="27" spans="1:24" x14ac:dyDescent="0.2">
      <c r="A27">
        <v>714</v>
      </c>
      <c r="B27">
        <v>490</v>
      </c>
      <c r="C27">
        <v>182.45965242385799</v>
      </c>
      <c r="D27" s="3">
        <v>13758.2562428848</v>
      </c>
      <c r="E27">
        <v>149.79929850722701</v>
      </c>
      <c r="F27" s="3">
        <v>11393.3470485828</v>
      </c>
      <c r="G27">
        <v>79.511542638533001</v>
      </c>
      <c r="H27" s="3">
        <v>13005.8280778593</v>
      </c>
      <c r="I27">
        <v>189.00517161652999</v>
      </c>
      <c r="J27" s="3">
        <v>2238.5213869874001</v>
      </c>
      <c r="K27">
        <v>156.66575431823699</v>
      </c>
      <c r="L27">
        <v>0.61206830740460905</v>
      </c>
      <c r="M27" s="3">
        <v>525.78089466913002</v>
      </c>
      <c r="N27">
        <v>114.938792221727</v>
      </c>
      <c r="O27">
        <v>0.27708425518329199</v>
      </c>
      <c r="P27" s="3">
        <v>883.660268430879</v>
      </c>
      <c r="Q27">
        <v>143.28896404776501</v>
      </c>
      <c r="R27">
        <v>0.47990780484968698</v>
      </c>
      <c r="S27" s="3">
        <v>581.16362989221</v>
      </c>
      <c r="T27">
        <v>162.897702648522</v>
      </c>
      <c r="U27">
        <v>0.25033944594541302</v>
      </c>
      <c r="V27" s="3">
        <v>575.285895304821</v>
      </c>
      <c r="W27">
        <v>150.94379944575999</v>
      </c>
      <c r="X27">
        <v>0.29241382058599902</v>
      </c>
    </row>
    <row r="28" spans="1:24" x14ac:dyDescent="0.2">
      <c r="A28">
        <v>877</v>
      </c>
      <c r="B28">
        <v>412</v>
      </c>
      <c r="C28">
        <v>139.29094076156599</v>
      </c>
      <c r="D28" s="3">
        <v>7267.8356941299899</v>
      </c>
      <c r="E28">
        <v>143.36432362522399</v>
      </c>
      <c r="F28" s="3">
        <v>6530.17315625847</v>
      </c>
      <c r="G28">
        <v>142.601417020133</v>
      </c>
      <c r="H28" s="3">
        <v>7119.7739100327999</v>
      </c>
      <c r="I28">
        <v>132.21917995451301</v>
      </c>
      <c r="J28" s="3">
        <v>3159.58288386299</v>
      </c>
      <c r="K28">
        <v>170.763039588928</v>
      </c>
      <c r="L28">
        <v>0.93126040376166996</v>
      </c>
      <c r="M28" s="3">
        <v>1979.0465472251301</v>
      </c>
      <c r="N28">
        <v>166.113674015681</v>
      </c>
      <c r="O28">
        <v>0.497582408090738</v>
      </c>
      <c r="P28" s="3">
        <v>2071.38772268916</v>
      </c>
      <c r="Q28">
        <v>173.41995129045401</v>
      </c>
      <c r="R28">
        <v>0.64462945047375098</v>
      </c>
      <c r="S28" s="3">
        <v>2048.6614882537001</v>
      </c>
      <c r="T28">
        <v>173.11754019679501</v>
      </c>
      <c r="U28">
        <v>0.73036605834003099</v>
      </c>
      <c r="V28" s="3">
        <v>1929.0477634146901</v>
      </c>
      <c r="W28">
        <v>164.24968015754899</v>
      </c>
      <c r="X28">
        <v>0.39817987980923503</v>
      </c>
    </row>
    <row r="29" spans="1:24" x14ac:dyDescent="0.2">
      <c r="A29">
        <v>168</v>
      </c>
      <c r="B29">
        <v>410</v>
      </c>
      <c r="C29">
        <v>136.284005641937</v>
      </c>
      <c r="D29" s="3">
        <v>4610.8440655719396</v>
      </c>
      <c r="E29">
        <v>93.686568873645399</v>
      </c>
      <c r="F29" s="3">
        <v>5223.0780212664004</v>
      </c>
      <c r="G29">
        <v>111.075107197431</v>
      </c>
      <c r="H29" s="3">
        <v>5699.4536826795402</v>
      </c>
      <c r="I29">
        <v>140.74183261827201</v>
      </c>
      <c r="J29" s="3">
        <v>2374.4730994475299</v>
      </c>
      <c r="K29">
        <v>127.82334089279099</v>
      </c>
      <c r="L29">
        <v>0.85538495452976004</v>
      </c>
      <c r="M29" s="3">
        <v>2641.6663023578799</v>
      </c>
      <c r="N29">
        <v>130.186505921953</v>
      </c>
      <c r="O29">
        <v>1.0262374104737499</v>
      </c>
      <c r="P29" s="3">
        <v>2652.9770630055</v>
      </c>
      <c r="Q29">
        <v>127.904062471096</v>
      </c>
      <c r="R29">
        <v>1.0011625703154901</v>
      </c>
      <c r="S29" s="3">
        <v>2513.21049764602</v>
      </c>
      <c r="T29">
        <v>135.56905733423599</v>
      </c>
      <c r="U29">
        <v>1.0838470016639501</v>
      </c>
      <c r="V29" s="3">
        <v>2661.6629589208801</v>
      </c>
      <c r="W29">
        <v>133.673056704038</v>
      </c>
      <c r="X29">
        <v>1.06340561145852</v>
      </c>
    </row>
    <row r="30" spans="1:24" x14ac:dyDescent="0.2">
      <c r="A30">
        <v>712</v>
      </c>
      <c r="B30">
        <v>386</v>
      </c>
      <c r="C30">
        <v>103.05385589599599</v>
      </c>
      <c r="D30" s="3">
        <v>3541.48323562922</v>
      </c>
      <c r="E30">
        <v>76.555020395190994</v>
      </c>
      <c r="F30" s="3">
        <v>2855.6655671824301</v>
      </c>
      <c r="G30">
        <v>63.370804764621298</v>
      </c>
      <c r="H30" s="3">
        <v>4031.0437601376102</v>
      </c>
      <c r="I30">
        <v>78.2585624531131</v>
      </c>
      <c r="J30" s="3">
        <v>3144.03959898726</v>
      </c>
      <c r="K30">
        <v>139.62435722351</v>
      </c>
      <c r="L30">
        <v>0.64130325911467601</v>
      </c>
      <c r="M30" s="3">
        <v>2343.49339793935</v>
      </c>
      <c r="N30">
        <v>119.022225869639</v>
      </c>
      <c r="O30">
        <v>0.50950751744375999</v>
      </c>
      <c r="P30" s="3">
        <v>2564.1056675241798</v>
      </c>
      <c r="Q30">
        <v>128.40833793745</v>
      </c>
      <c r="R30">
        <v>0.67113291497903205</v>
      </c>
      <c r="S30" s="3">
        <v>4406.13885774552</v>
      </c>
      <c r="T30">
        <v>141.19912806924401</v>
      </c>
      <c r="U30">
        <v>1.2731818256185301</v>
      </c>
      <c r="V30" s="3">
        <v>2413.6558447212501</v>
      </c>
      <c r="W30">
        <v>129.13123669313899</v>
      </c>
      <c r="X30">
        <v>0.55355241104122799</v>
      </c>
    </row>
    <row r="31" spans="1:24" x14ac:dyDescent="0.2">
      <c r="B31" t="s">
        <v>24</v>
      </c>
      <c r="C31">
        <f>AVERAGE(C2:C30)</f>
        <v>122.60544752252468</v>
      </c>
      <c r="D31" s="4">
        <f t="shared" ref="D31:X31" si="0">AVERAGE(D2:D30)</f>
        <v>29968.293342647998</v>
      </c>
      <c r="E31">
        <f t="shared" si="0"/>
        <v>94.591637723552395</v>
      </c>
      <c r="F31" s="4">
        <f t="shared" si="0"/>
        <v>32909.96273555456</v>
      </c>
      <c r="G31">
        <f t="shared" si="0"/>
        <v>95.849788710808582</v>
      </c>
      <c r="H31" s="4">
        <f t="shared" si="0"/>
        <v>37976.952947337784</v>
      </c>
      <c r="I31">
        <f t="shared" si="0"/>
        <v>118.11488328005231</v>
      </c>
      <c r="J31" s="4">
        <f t="shared" si="0"/>
        <v>28655.928684339495</v>
      </c>
      <c r="K31">
        <f t="shared" si="0"/>
        <v>125.21680737363843</v>
      </c>
      <c r="L31">
        <f t="shared" si="0"/>
        <v>0.92812900426022882</v>
      </c>
      <c r="M31" s="4">
        <f t="shared" si="0"/>
        <v>23469.871033169522</v>
      </c>
      <c r="N31">
        <f t="shared" si="0"/>
        <v>115.37277677876622</v>
      </c>
      <c r="O31">
        <f t="shared" si="0"/>
        <v>0.73359354792325648</v>
      </c>
      <c r="P31" s="4">
        <f t="shared" si="0"/>
        <v>22279.486952755731</v>
      </c>
      <c r="Q31">
        <f t="shared" si="0"/>
        <v>118.23901547696885</v>
      </c>
      <c r="R31">
        <f t="shared" si="0"/>
        <v>0.75878785285991868</v>
      </c>
      <c r="S31" s="4">
        <f t="shared" si="0"/>
        <v>25777.379170045722</v>
      </c>
      <c r="T31">
        <f t="shared" si="0"/>
        <v>120.97778845284951</v>
      </c>
      <c r="U31">
        <f t="shared" si="0"/>
        <v>0.86746140467661326</v>
      </c>
      <c r="V31" s="4">
        <f t="shared" si="0"/>
        <v>22796.747736251276</v>
      </c>
      <c r="W31">
        <f t="shared" si="0"/>
        <v>119.62887133664267</v>
      </c>
      <c r="X31">
        <f t="shared" si="0"/>
        <v>0.69346562709972226</v>
      </c>
    </row>
    <row r="34" spans="1:24" x14ac:dyDescent="0.2">
      <c r="A34" t="s">
        <v>25</v>
      </c>
    </row>
    <row r="35" spans="1:24" ht="34" x14ac:dyDescent="0.2">
      <c r="A35" s="1" t="s">
        <v>0</v>
      </c>
      <c r="B35" s="1" t="s">
        <v>1</v>
      </c>
      <c r="C35" s="1" t="s">
        <v>2</v>
      </c>
      <c r="D35" s="2" t="s">
        <v>3</v>
      </c>
      <c r="E35" s="1" t="s">
        <v>4</v>
      </c>
      <c r="F35" s="2" t="s">
        <v>5</v>
      </c>
      <c r="G35" s="1" t="s">
        <v>6</v>
      </c>
      <c r="H35" s="2" t="s">
        <v>7</v>
      </c>
      <c r="I35" s="1" t="s">
        <v>8</v>
      </c>
      <c r="J35" s="2" t="s">
        <v>9</v>
      </c>
      <c r="K35" s="1" t="s">
        <v>10</v>
      </c>
      <c r="L35" s="1" t="s">
        <v>11</v>
      </c>
      <c r="M35" s="2" t="s">
        <v>12</v>
      </c>
      <c r="N35" s="1" t="s">
        <v>13</v>
      </c>
      <c r="O35" s="1" t="s">
        <v>14</v>
      </c>
      <c r="P35" s="2" t="s">
        <v>15</v>
      </c>
      <c r="Q35" s="1" t="s">
        <v>16</v>
      </c>
      <c r="R35" s="1" t="s">
        <v>17</v>
      </c>
      <c r="S35" s="2" t="s">
        <v>18</v>
      </c>
      <c r="T35" s="1" t="s">
        <v>19</v>
      </c>
      <c r="U35" s="1" t="s">
        <v>20</v>
      </c>
      <c r="V35" s="2" t="s">
        <v>21</v>
      </c>
      <c r="W35" s="1" t="s">
        <v>22</v>
      </c>
      <c r="X35" s="1" t="s">
        <v>23</v>
      </c>
    </row>
    <row r="36" spans="1:24" x14ac:dyDescent="0.2">
      <c r="A36">
        <v>804</v>
      </c>
      <c r="B36">
        <v>96616</v>
      </c>
      <c r="C36">
        <f>C2</f>
        <v>135.29224395751899</v>
      </c>
      <c r="D36" s="3">
        <f>D2/MIN(D2,F2,H2,J2,M2,P2,S2,V2)</f>
        <v>1.2366616334814058</v>
      </c>
      <c r="E36">
        <f>E2</f>
        <v>76.633044562295098</v>
      </c>
      <c r="F36" s="3">
        <f>F2/MIN($D2,$F2,$H2,$J2,$M2,$P2,$S2,$V2)</f>
        <v>2.7609950571690578</v>
      </c>
      <c r="G36">
        <f>G2</f>
        <v>95.8117550734666</v>
      </c>
      <c r="H36" s="3">
        <f>H2/MIN($D2,$F2,$H2,$J2,$M2,$P2,$S2,$V2)</f>
        <v>4.1366748315863919</v>
      </c>
      <c r="I36">
        <f>I2</f>
        <v>124.87062661365501</v>
      </c>
      <c r="J36" s="3">
        <f>J2/MIN($D2,$F2,$H2,$J2,$M2,$P2,$S2,$V2)</f>
        <v>1.0668087371659829</v>
      </c>
      <c r="K36">
        <f>K2</f>
        <v>146.92534208297701</v>
      </c>
      <c r="L36">
        <f>L2</f>
        <v>0.60171379556840598</v>
      </c>
      <c r="M36" s="3">
        <f>M2/MIN($D2,$F2,$H2,$J2,$M2,$P2,$S2,$V2)</f>
        <v>1.2748219398290761</v>
      </c>
      <c r="N36">
        <f>N2</f>
        <v>121.618919795236</v>
      </c>
      <c r="O36">
        <f>O2</f>
        <v>0.80897774369873499</v>
      </c>
      <c r="P36" s="3">
        <f>P2/MIN($D2,$F2,$H2,$J2,$M2,$P2,$S2,$V2)</f>
        <v>1</v>
      </c>
      <c r="Q36">
        <f>Q2</f>
        <v>129.57950479628599</v>
      </c>
      <c r="R36">
        <f>R2</f>
        <v>0.63523215556523205</v>
      </c>
      <c r="S36" s="3">
        <f>S2/MIN($D2,$F2,$H2,$J2,$M2,$P2,$S2,$V2)</f>
        <v>1.0642662135724101</v>
      </c>
      <c r="T36">
        <f>T2</f>
        <v>127.562346520319</v>
      </c>
      <c r="U36">
        <f>U2</f>
        <v>0.71548190247892496</v>
      </c>
      <c r="V36" s="3">
        <f>V2/MIN($D2,$F2,$H2,$J2,$M2,$P2,$S2,$V2)</f>
        <v>1.1620551984878547</v>
      </c>
      <c r="W36">
        <f>W2</f>
        <v>135.01632358315101</v>
      </c>
      <c r="X36">
        <f>X2</f>
        <v>0.74405377239800596</v>
      </c>
    </row>
    <row r="37" spans="1:24" x14ac:dyDescent="0.2">
      <c r="A37">
        <v>812</v>
      </c>
      <c r="B37">
        <v>36681</v>
      </c>
      <c r="C37">
        <f t="shared" ref="C37:C61" si="1">C3</f>
        <v>130.73290586471501</v>
      </c>
      <c r="D37" s="3">
        <f t="shared" ref="D37:D61" si="2">D3/MIN(D3,F3,H3,J3,M3,P3,S3,V3)</f>
        <v>1.0708033213293759</v>
      </c>
      <c r="E37">
        <f t="shared" ref="E37:E61" si="3">E3</f>
        <v>87.607777327169003</v>
      </c>
      <c r="F37" s="3">
        <f t="shared" ref="F37:F61" si="4">F3/MIN($D3,$F3,$H3,$J3,$M3,$P3,$S3,$V3)</f>
        <v>1</v>
      </c>
      <c r="G37">
        <f t="shared" ref="G37:G61" si="5">G3</f>
        <v>87.857706403737396</v>
      </c>
      <c r="H37" s="3">
        <f t="shared" ref="H37:H61" si="6">H3/MIN($D3,$F3,$H3,$J3,$M3,$P3,$S3,$V3)</f>
        <v>1.6265131399500343</v>
      </c>
      <c r="I37">
        <f t="shared" ref="I37:I61" si="7">I3</f>
        <v>112.95736916457599</v>
      </c>
      <c r="J37" s="3">
        <f t="shared" ref="J37:J61" si="8">J3/MIN($D3,$F3,$H3,$J3,$M3,$P3,$S3,$V3)</f>
        <v>1.1793769848284243</v>
      </c>
      <c r="K37">
        <f t="shared" ref="K37:L37" si="9">K3</f>
        <v>80.907618999481201</v>
      </c>
      <c r="L37">
        <f t="shared" si="9"/>
        <v>1.8770371109177699</v>
      </c>
      <c r="M37" s="3">
        <f t="shared" ref="M37:M61" si="10">M3/MIN($D3,$F3,$H3,$J3,$M3,$P3,$S3,$V3)</f>
        <v>1.3281189207641411</v>
      </c>
      <c r="N37">
        <f t="shared" ref="N37:O37" si="11">N3</f>
        <v>90.341470234684607</v>
      </c>
      <c r="O37">
        <f t="shared" si="11"/>
        <v>2.1752694746185699</v>
      </c>
      <c r="P37" s="3">
        <f t="shared" ref="P37:P61" si="12">P3/MIN($D3,$F3,$H3,$J3,$M3,$P3,$S3,$V3)</f>
        <v>1.1391451417703018</v>
      </c>
      <c r="Q37">
        <f t="shared" ref="Q37:R37" si="13">Q3</f>
        <v>83.589940630347698</v>
      </c>
      <c r="R37">
        <f t="shared" si="13"/>
        <v>1.66286656025882</v>
      </c>
      <c r="S37" s="3">
        <f t="shared" ref="S37:S61" si="14">S3/MIN($D3,$F3,$H3,$J3,$M3,$P3,$S3,$V3)</f>
        <v>1.1996307626472678</v>
      </c>
      <c r="T37">
        <f t="shared" ref="T37:U37" si="15">T3</f>
        <v>98.270309567517501</v>
      </c>
      <c r="U37">
        <f t="shared" si="15"/>
        <v>2.4936178572546899</v>
      </c>
      <c r="V37" s="3">
        <f t="shared" ref="V37:V61" si="16">V3/MIN($D3,$F3,$H3,$J3,$M3,$P3,$S3,$V3)</f>
        <v>1.2395774975376261</v>
      </c>
      <c r="W37">
        <f t="shared" ref="W37:X37" si="17">W3</f>
        <v>85.597292849075799</v>
      </c>
      <c r="X37">
        <f t="shared" si="17"/>
        <v>1.85900037404561</v>
      </c>
    </row>
    <row r="38" spans="1:24" x14ac:dyDescent="0.2">
      <c r="A38">
        <v>114</v>
      </c>
      <c r="B38">
        <v>33490</v>
      </c>
      <c r="C38">
        <f t="shared" si="1"/>
        <v>66.799706220626803</v>
      </c>
      <c r="D38" s="3">
        <f t="shared" si="2"/>
        <v>1.1136879003664413</v>
      </c>
      <c r="E38">
        <f t="shared" si="3"/>
        <v>41.085813618979202</v>
      </c>
      <c r="F38" s="3">
        <f t="shared" si="4"/>
        <v>1.0881471399475049</v>
      </c>
      <c r="G38">
        <f t="shared" si="5"/>
        <v>44.731071028011399</v>
      </c>
      <c r="H38" s="3">
        <f t="shared" si="6"/>
        <v>1.3580609747056069</v>
      </c>
      <c r="I38">
        <f t="shared" si="7"/>
        <v>66.640350990700696</v>
      </c>
      <c r="J38" s="3">
        <f t="shared" si="8"/>
        <v>1.3632309530191298</v>
      </c>
      <c r="K38">
        <f t="shared" ref="K38:L38" si="18">K4</f>
        <v>59.864836931228602</v>
      </c>
      <c r="L38">
        <f t="shared" si="18"/>
        <v>0.66399790723844898</v>
      </c>
      <c r="M38" s="3">
        <f t="shared" si="10"/>
        <v>1.0131630792429687</v>
      </c>
      <c r="N38">
        <f t="shared" ref="N38:O38" si="19">N4</f>
        <v>42.513449473968699</v>
      </c>
      <c r="O38">
        <f t="shared" si="19"/>
        <v>0.43328863995184502</v>
      </c>
      <c r="P38" s="3">
        <f t="shared" si="12"/>
        <v>1.1023988422583459</v>
      </c>
      <c r="Q38">
        <f t="shared" ref="Q38:R38" si="20">Q4</f>
        <v>39.091690200522201</v>
      </c>
      <c r="R38">
        <f t="shared" si="20"/>
        <v>0.483702667735811</v>
      </c>
      <c r="S38" s="3">
        <f t="shared" si="14"/>
        <v>1.4999699664428583</v>
      </c>
      <c r="T38">
        <f t="shared" ref="T38:U38" si="21">T4</f>
        <v>50.9444683931846</v>
      </c>
      <c r="U38">
        <f t="shared" si="21"/>
        <v>0.71715156854779305</v>
      </c>
      <c r="V38" s="3">
        <f t="shared" si="16"/>
        <v>1</v>
      </c>
      <c r="W38">
        <f t="shared" ref="W38:X38" si="22">W4</f>
        <v>39.719062183350097</v>
      </c>
      <c r="X38">
        <f t="shared" si="22"/>
        <v>0.411043103404861</v>
      </c>
    </row>
    <row r="39" spans="1:24" x14ac:dyDescent="0.2">
      <c r="A39">
        <v>195</v>
      </c>
      <c r="B39">
        <v>13466</v>
      </c>
      <c r="C39">
        <f t="shared" si="1"/>
        <v>133.56039524078301</v>
      </c>
      <c r="D39" s="3">
        <f t="shared" si="2"/>
        <v>1.1075094760270074</v>
      </c>
      <c r="E39">
        <f t="shared" si="3"/>
        <v>98.832327301106005</v>
      </c>
      <c r="F39" s="3">
        <f t="shared" si="4"/>
        <v>1.1287329063557276</v>
      </c>
      <c r="G39">
        <f t="shared" si="5"/>
        <v>96.370342341053103</v>
      </c>
      <c r="H39" s="3">
        <f t="shared" si="6"/>
        <v>1.5860324252858824</v>
      </c>
      <c r="I39">
        <f t="shared" si="7"/>
        <v>129.46135400221601</v>
      </c>
      <c r="J39" s="3">
        <f t="shared" si="8"/>
        <v>1.0826491583595244</v>
      </c>
      <c r="K39">
        <f t="shared" ref="K39:L39" si="23">K5</f>
        <v>111.60036325454701</v>
      </c>
      <c r="L39">
        <f t="shared" si="23"/>
        <v>0.62250044340033694</v>
      </c>
      <c r="M39" s="3">
        <f t="shared" si="10"/>
        <v>1.1446557702613984</v>
      </c>
      <c r="N39">
        <f t="shared" ref="N39:O39" si="24">N5</f>
        <v>100.270734717831</v>
      </c>
      <c r="O39">
        <f t="shared" si="24"/>
        <v>0.68961137706911402</v>
      </c>
      <c r="P39" s="3">
        <f t="shared" si="12"/>
        <v>1</v>
      </c>
      <c r="Q39">
        <f t="shared" ref="Q39:R39" si="25">Q5</f>
        <v>97.591320566115201</v>
      </c>
      <c r="R39">
        <f t="shared" si="25"/>
        <v>0.58140422201758102</v>
      </c>
      <c r="S39" s="3">
        <f t="shared" si="14"/>
        <v>1.0258403643752354</v>
      </c>
      <c r="T39">
        <f t="shared" ref="T39:U39" si="26">T5</f>
        <v>102.99860211206899</v>
      </c>
      <c r="U39">
        <f t="shared" si="26"/>
        <v>0.54892495840614697</v>
      </c>
      <c r="V39" s="3">
        <f t="shared" si="16"/>
        <v>1.0676914181230817</v>
      </c>
      <c r="W39">
        <f t="shared" ref="W39:X39" si="27">W5</f>
        <v>97.692783580505505</v>
      </c>
      <c r="X39">
        <f t="shared" si="27"/>
        <v>0.62521331673712899</v>
      </c>
    </row>
    <row r="40" spans="1:24" x14ac:dyDescent="0.2">
      <c r="A40">
        <v>722</v>
      </c>
      <c r="B40">
        <v>7994</v>
      </c>
      <c r="C40">
        <f t="shared" si="1"/>
        <v>138.00899982452299</v>
      </c>
      <c r="D40" s="3">
        <f t="shared" si="2"/>
        <v>1.1722852117767117</v>
      </c>
      <c r="E40">
        <f t="shared" si="3"/>
        <v>112.94881044609301</v>
      </c>
      <c r="F40" s="3">
        <f t="shared" si="4"/>
        <v>1.2970963996563889</v>
      </c>
      <c r="G40">
        <f t="shared" si="5"/>
        <v>120.33204126678299</v>
      </c>
      <c r="H40" s="3">
        <f t="shared" si="6"/>
        <v>1.1029509672613489</v>
      </c>
      <c r="I40">
        <f t="shared" si="7"/>
        <v>133.84492247044</v>
      </c>
      <c r="J40" s="3">
        <f t="shared" si="8"/>
        <v>1.583211578195151</v>
      </c>
      <c r="K40">
        <f t="shared" ref="K40:L40" si="28">K6</f>
        <v>131.71762228012</v>
      </c>
      <c r="L40">
        <f t="shared" si="28"/>
        <v>1.05162464024751</v>
      </c>
      <c r="M40" s="3">
        <f t="shared" si="10"/>
        <v>1.1860402171902891</v>
      </c>
      <c r="N40">
        <f t="shared" ref="N40:O40" si="29">N6</f>
        <v>119.58094322038301</v>
      </c>
      <c r="O40">
        <f t="shared" si="29"/>
        <v>0.83321798769566302</v>
      </c>
      <c r="P40" s="3">
        <f t="shared" si="12"/>
        <v>1</v>
      </c>
      <c r="Q40">
        <f t="shared" ref="Q40:R40" si="30">Q6</f>
        <v>111.87071087664199</v>
      </c>
      <c r="R40">
        <f t="shared" si="30"/>
        <v>0.67440835367403895</v>
      </c>
      <c r="S40" s="3">
        <f t="shared" si="14"/>
        <v>1.072519726854513</v>
      </c>
      <c r="T40">
        <f t="shared" ref="T40:U40" si="31">T6</f>
        <v>115.369676692401</v>
      </c>
      <c r="U40">
        <f t="shared" si="31"/>
        <v>0.73162708756469297</v>
      </c>
      <c r="V40" s="3">
        <f t="shared" si="16"/>
        <v>1.11064045892454</v>
      </c>
      <c r="W40">
        <f t="shared" ref="W40:X40" si="32">W6</f>
        <v>117.79067267034</v>
      </c>
      <c r="X40">
        <f t="shared" si="32"/>
        <v>0.77244962930138505</v>
      </c>
    </row>
    <row r="41" spans="1:24" x14ac:dyDescent="0.2">
      <c r="A41">
        <v>185</v>
      </c>
      <c r="B41">
        <v>7159</v>
      </c>
      <c r="C41">
        <f t="shared" si="1"/>
        <v>101.944243907928</v>
      </c>
      <c r="D41" s="3">
        <f t="shared" si="2"/>
        <v>1.2382934606206133</v>
      </c>
      <c r="E41">
        <f t="shared" si="3"/>
        <v>85.136474638671203</v>
      </c>
      <c r="F41" s="3">
        <f t="shared" si="4"/>
        <v>1.4887142052444731</v>
      </c>
      <c r="G41">
        <f t="shared" si="5"/>
        <v>113.652621209315</v>
      </c>
      <c r="H41" s="3">
        <f t="shared" si="6"/>
        <v>1.5240977077534961</v>
      </c>
      <c r="I41">
        <f t="shared" si="7"/>
        <v>101.988273099427</v>
      </c>
      <c r="J41" s="3">
        <f t="shared" si="8"/>
        <v>1.0701159100662503</v>
      </c>
      <c r="K41">
        <f t="shared" ref="K41:L41" si="33">K7</f>
        <v>92.052161693572998</v>
      </c>
      <c r="L41">
        <f t="shared" si="33"/>
        <v>0.77766833665176405</v>
      </c>
      <c r="M41" s="3">
        <f t="shared" si="10"/>
        <v>1.1452108030513211</v>
      </c>
      <c r="N41">
        <f t="shared" ref="N41:O41" si="34">N7</f>
        <v>103.735996614203</v>
      </c>
      <c r="O41">
        <f t="shared" si="34"/>
        <v>1.0375756842633601</v>
      </c>
      <c r="P41" s="3">
        <f t="shared" si="12"/>
        <v>1.1254361930269929</v>
      </c>
      <c r="Q41">
        <f t="shared" ref="Q41:R41" si="35">Q7</f>
        <v>95.406463860306204</v>
      </c>
      <c r="R41">
        <f t="shared" si="35"/>
        <v>0.83072380162034398</v>
      </c>
      <c r="S41" s="3">
        <f t="shared" si="14"/>
        <v>1</v>
      </c>
      <c r="T41">
        <f t="shared" ref="T41:U41" si="36">T7</f>
        <v>92.503738067024202</v>
      </c>
      <c r="U41">
        <f t="shared" si="36"/>
        <v>0.701846183800236</v>
      </c>
      <c r="V41" s="3">
        <f t="shared" si="16"/>
        <v>1.1546618725685076</v>
      </c>
      <c r="W41">
        <f t="shared" ref="W41:X41" si="37">W7</f>
        <v>103.603675956673</v>
      </c>
      <c r="X41">
        <f t="shared" si="37"/>
        <v>0.99026438156516405</v>
      </c>
    </row>
    <row r="42" spans="1:24" x14ac:dyDescent="0.2">
      <c r="A42">
        <v>890</v>
      </c>
      <c r="B42">
        <v>6098</v>
      </c>
      <c r="C42">
        <f t="shared" si="1"/>
        <v>89.977908134460407</v>
      </c>
      <c r="D42" s="3">
        <f t="shared" si="2"/>
        <v>1</v>
      </c>
      <c r="E42">
        <f t="shared" si="3"/>
        <v>57.417843271744999</v>
      </c>
      <c r="F42" s="3">
        <f t="shared" si="4"/>
        <v>1.0271044155711122</v>
      </c>
      <c r="G42">
        <f t="shared" si="5"/>
        <v>53.246531990063303</v>
      </c>
      <c r="H42" s="3">
        <f t="shared" si="6"/>
        <v>1.4755064564479927</v>
      </c>
      <c r="I42">
        <f t="shared" si="7"/>
        <v>89.742235308232907</v>
      </c>
      <c r="J42" s="3">
        <f t="shared" si="8"/>
        <v>1.7797777883518917</v>
      </c>
      <c r="K42">
        <f t="shared" ref="K42:L42" si="38">K8</f>
        <v>76.317697763442993</v>
      </c>
      <c r="L42">
        <f t="shared" si="38"/>
        <v>0.88463738060981201</v>
      </c>
      <c r="M42" s="3">
        <f t="shared" si="10"/>
        <v>1.081870860960525</v>
      </c>
      <c r="N42">
        <f t="shared" ref="N42:O42" si="39">N8</f>
        <v>58.196458228074803</v>
      </c>
      <c r="O42">
        <f t="shared" si="39"/>
        <v>0.49525010052523699</v>
      </c>
      <c r="P42" s="3">
        <f t="shared" si="12"/>
        <v>1.0006473624581282</v>
      </c>
      <c r="Q42">
        <f t="shared" ref="Q42:R42" si="40">Q8</f>
        <v>60.0811945360133</v>
      </c>
      <c r="R42">
        <f t="shared" si="40"/>
        <v>0.53853057459129605</v>
      </c>
      <c r="S42" s="3">
        <f t="shared" si="14"/>
        <v>1.3041601683966821</v>
      </c>
      <c r="T42">
        <f t="shared" ref="T42:U42" si="41">T8</f>
        <v>69.758475445471106</v>
      </c>
      <c r="U42">
        <f t="shared" si="41"/>
        <v>0.61275177317779195</v>
      </c>
      <c r="V42" s="3">
        <f t="shared" si="16"/>
        <v>1.2688740492974295</v>
      </c>
      <c r="W42">
        <f t="shared" ref="W42:X42" si="42">W8</f>
        <v>88.694767010300595</v>
      </c>
      <c r="X42">
        <f t="shared" si="42"/>
        <v>0.62651090496996298</v>
      </c>
    </row>
    <row r="43" spans="1:24" x14ac:dyDescent="0.2">
      <c r="A43">
        <v>237</v>
      </c>
      <c r="B43">
        <v>5792</v>
      </c>
      <c r="C43">
        <f t="shared" si="1"/>
        <v>148.408651351928</v>
      </c>
      <c r="D43" s="3">
        <f t="shared" si="2"/>
        <v>2.3406245895381792</v>
      </c>
      <c r="E43">
        <f t="shared" si="3"/>
        <v>105.3756038241</v>
      </c>
      <c r="F43" s="3">
        <f t="shared" si="4"/>
        <v>2.0556827005522549</v>
      </c>
      <c r="G43">
        <f t="shared" si="5"/>
        <v>129.70082255788799</v>
      </c>
      <c r="H43" s="3">
        <f t="shared" si="6"/>
        <v>2.2357286249719035</v>
      </c>
      <c r="I43">
        <f t="shared" si="7"/>
        <v>137.43264390477299</v>
      </c>
      <c r="J43" s="3">
        <f t="shared" si="8"/>
        <v>1.0346809856744663</v>
      </c>
      <c r="K43">
        <f t="shared" ref="K43:L43" si="43">K9</f>
        <v>128.630173206329</v>
      </c>
      <c r="L43">
        <f t="shared" si="43"/>
        <v>0.57654011454548704</v>
      </c>
      <c r="M43" s="3">
        <f t="shared" si="10"/>
        <v>1.0522703968129759</v>
      </c>
      <c r="N43">
        <f t="shared" ref="N43:O43" si="44">N9</f>
        <v>123.766882491291</v>
      </c>
      <c r="O43">
        <f t="shared" si="44"/>
        <v>0.53021795210494505</v>
      </c>
      <c r="P43" s="3">
        <f t="shared" si="12"/>
        <v>1</v>
      </c>
      <c r="Q43">
        <f t="shared" ref="Q43:R43" si="45">Q9</f>
        <v>111.138689068226</v>
      </c>
      <c r="R43">
        <f t="shared" si="45"/>
        <v>0.62655088890993804</v>
      </c>
      <c r="S43" s="3">
        <f t="shared" si="14"/>
        <v>1.0559070389046323</v>
      </c>
      <c r="T43">
        <f t="shared" ref="T43:U43" si="46">T9</f>
        <v>121.521103646086</v>
      </c>
      <c r="U43">
        <f t="shared" si="46"/>
        <v>0.65647852410196705</v>
      </c>
      <c r="V43" s="3">
        <f t="shared" si="16"/>
        <v>1.0647769894009622</v>
      </c>
      <c r="W43">
        <f t="shared" ref="W43:X43" si="47">W9</f>
        <v>114.351517821364</v>
      </c>
      <c r="X43">
        <f t="shared" si="47"/>
        <v>0.55861976472971897</v>
      </c>
    </row>
    <row r="44" spans="1:24" x14ac:dyDescent="0.2">
      <c r="A44">
        <v>888</v>
      </c>
      <c r="B44">
        <v>4621</v>
      </c>
      <c r="C44">
        <f t="shared" si="1"/>
        <v>111.54049634933401</v>
      </c>
      <c r="D44" s="3">
        <f t="shared" si="2"/>
        <v>2.1794968917205888</v>
      </c>
      <c r="E44">
        <f t="shared" si="3"/>
        <v>95.290713255561499</v>
      </c>
      <c r="F44" s="3">
        <f t="shared" si="4"/>
        <v>2.1957100147455781</v>
      </c>
      <c r="G44">
        <f t="shared" si="5"/>
        <v>76.669940062459503</v>
      </c>
      <c r="H44" s="3">
        <f t="shared" si="6"/>
        <v>2.5382695968065416</v>
      </c>
      <c r="I44">
        <f t="shared" si="7"/>
        <v>115.08411067312601</v>
      </c>
      <c r="J44" s="3">
        <f t="shared" si="8"/>
        <v>1.400907390636051</v>
      </c>
      <c r="K44">
        <f t="shared" ref="K44:L44" si="48">K10</f>
        <v>110.859489440917</v>
      </c>
      <c r="L44">
        <f t="shared" si="48"/>
        <v>0.66413940392617199</v>
      </c>
      <c r="M44" s="3">
        <f t="shared" si="10"/>
        <v>1.0204555516281137</v>
      </c>
      <c r="N44">
        <f t="shared" ref="N44:O44" si="49">N10</f>
        <v>96.403316844402696</v>
      </c>
      <c r="O44">
        <f t="shared" si="49"/>
        <v>0.54947203951392798</v>
      </c>
      <c r="P44" s="3">
        <f t="shared" si="12"/>
        <v>1.1091942540593616</v>
      </c>
      <c r="Q44">
        <f t="shared" ref="Q44:R44" si="50">Q10</f>
        <v>94.292088533013597</v>
      </c>
      <c r="R44">
        <f t="shared" si="50"/>
        <v>0.62027262278502604</v>
      </c>
      <c r="S44" s="3">
        <f t="shared" si="14"/>
        <v>1</v>
      </c>
      <c r="T44">
        <f t="shared" ref="T44:U44" si="51">T10</f>
        <v>100.005353197948</v>
      </c>
      <c r="U44">
        <f t="shared" si="51"/>
        <v>0.61265506069772402</v>
      </c>
      <c r="V44" s="3">
        <f t="shared" si="16"/>
        <v>1.0632320547316896</v>
      </c>
      <c r="W44">
        <f t="shared" ref="W44:X44" si="52">W10</f>
        <v>98.546972118031206</v>
      </c>
      <c r="X44">
        <f t="shared" si="52"/>
        <v>0.53147098308324203</v>
      </c>
    </row>
    <row r="45" spans="1:24" x14ac:dyDescent="0.2">
      <c r="A45">
        <v>827</v>
      </c>
      <c r="B45">
        <v>4365</v>
      </c>
      <c r="C45">
        <f t="shared" si="1"/>
        <v>115.47007560729899</v>
      </c>
      <c r="D45" s="3">
        <f t="shared" si="2"/>
        <v>1.6736611875990244</v>
      </c>
      <c r="E45">
        <f t="shared" si="3"/>
        <v>74.568915404769697</v>
      </c>
      <c r="F45" s="3">
        <f t="shared" si="4"/>
        <v>1.9716369570179346</v>
      </c>
      <c r="G45">
        <f t="shared" si="5"/>
        <v>98.045980279204798</v>
      </c>
      <c r="H45" s="3">
        <f t="shared" si="6"/>
        <v>2.2652716032354299</v>
      </c>
      <c r="I45">
        <f t="shared" si="7"/>
        <v>117.648470183897</v>
      </c>
      <c r="J45" s="3">
        <f t="shared" si="8"/>
        <v>1</v>
      </c>
      <c r="K45">
        <f t="shared" ref="K45:L45" si="53">K11</f>
        <v>96.397268772125202</v>
      </c>
      <c r="L45">
        <f t="shared" si="53"/>
        <v>1.02131098330808</v>
      </c>
      <c r="M45" s="3">
        <f t="shared" si="10"/>
        <v>1.1526344174063596</v>
      </c>
      <c r="N45">
        <f t="shared" ref="N45:O45" si="54">N11</f>
        <v>102.410195525136</v>
      </c>
      <c r="O45">
        <f t="shared" si="54"/>
        <v>1.2093111861207999</v>
      </c>
      <c r="P45" s="3">
        <f t="shared" si="12"/>
        <v>1.210150535183194</v>
      </c>
      <c r="Q45">
        <f t="shared" ref="Q45:R45" si="55">Q11</f>
        <v>100.63636455839401</v>
      </c>
      <c r="R45">
        <f t="shared" si="55"/>
        <v>1.1918982600910699</v>
      </c>
      <c r="S45" s="3">
        <f t="shared" si="14"/>
        <v>1.2420595822251879</v>
      </c>
      <c r="T45">
        <f t="shared" ref="T45:U45" si="56">T11</f>
        <v>101.65099597335499</v>
      </c>
      <c r="U45">
        <f t="shared" si="56"/>
        <v>1.2277705431433099</v>
      </c>
      <c r="V45" s="3">
        <f t="shared" si="16"/>
        <v>1.2120190473154662</v>
      </c>
      <c r="W45">
        <f t="shared" ref="W45:X45" si="57">W11</f>
        <v>103.50100137846501</v>
      </c>
      <c r="X45">
        <f t="shared" si="57"/>
        <v>1.19566431523351</v>
      </c>
    </row>
    <row r="46" spans="1:24" x14ac:dyDescent="0.2">
      <c r="A46">
        <v>279</v>
      </c>
      <c r="B46">
        <v>3961</v>
      </c>
      <c r="C46">
        <f t="shared" si="1"/>
        <v>140.484869480133</v>
      </c>
      <c r="D46" s="3">
        <f t="shared" si="2"/>
        <v>1.3065476585083324</v>
      </c>
      <c r="E46">
        <f t="shared" si="3"/>
        <v>100.06099093418</v>
      </c>
      <c r="F46" s="3">
        <f t="shared" si="4"/>
        <v>1.3683806422834963</v>
      </c>
      <c r="G46">
        <f t="shared" si="5"/>
        <v>104.198327841394</v>
      </c>
      <c r="H46" s="3">
        <f t="shared" si="6"/>
        <v>2.9242345455212053</v>
      </c>
      <c r="I46">
        <f t="shared" si="7"/>
        <v>141.30382972134601</v>
      </c>
      <c r="J46" s="3">
        <f t="shared" si="8"/>
        <v>1.6904840752280608</v>
      </c>
      <c r="K46">
        <f t="shared" ref="K46:L46" si="58">K12</f>
        <v>116.873490810394</v>
      </c>
      <c r="L46">
        <f t="shared" si="58"/>
        <v>0.89387149926360199</v>
      </c>
      <c r="M46" s="3">
        <f t="shared" si="10"/>
        <v>1.0152403808974364</v>
      </c>
      <c r="N46">
        <f t="shared" ref="N46:O46" si="59">N12</f>
        <v>91.364041413681093</v>
      </c>
      <c r="O46">
        <f t="shared" si="59"/>
        <v>0.57707656543660402</v>
      </c>
      <c r="P46" s="3">
        <f t="shared" si="12"/>
        <v>1.1201419652149647</v>
      </c>
      <c r="Q46">
        <f t="shared" ref="Q46:R46" si="60">Q12</f>
        <v>102.357701167279</v>
      </c>
      <c r="R46">
        <f t="shared" si="60"/>
        <v>0.64422816998750099</v>
      </c>
      <c r="S46" s="3">
        <f t="shared" si="14"/>
        <v>3.0486913408083769</v>
      </c>
      <c r="T46">
        <f t="shared" ref="T46:U46" si="61">T12</f>
        <v>124.429352034324</v>
      </c>
      <c r="U46">
        <f t="shared" si="61"/>
        <v>1.5786895383516599</v>
      </c>
      <c r="V46" s="3">
        <f t="shared" si="16"/>
        <v>1</v>
      </c>
      <c r="W46">
        <f t="shared" ref="W46:X46" si="62">W12</f>
        <v>93.848150853884803</v>
      </c>
      <c r="X46">
        <f t="shared" si="62"/>
        <v>0.55200828711099204</v>
      </c>
    </row>
    <row r="47" spans="1:24" x14ac:dyDescent="0.2">
      <c r="A47">
        <v>172</v>
      </c>
      <c r="B47">
        <v>3483</v>
      </c>
      <c r="C47">
        <f t="shared" si="1"/>
        <v>135.945582389831</v>
      </c>
      <c r="D47" s="3">
        <f t="shared" si="2"/>
        <v>1.1195514951816745</v>
      </c>
      <c r="E47">
        <f t="shared" si="3"/>
        <v>127.239224827423</v>
      </c>
      <c r="F47" s="3">
        <f t="shared" si="4"/>
        <v>1.1474001360838966</v>
      </c>
      <c r="G47">
        <f t="shared" si="5"/>
        <v>125.29317615881401</v>
      </c>
      <c r="H47" s="3">
        <f t="shared" si="6"/>
        <v>1.1968789464974521</v>
      </c>
      <c r="I47">
        <f t="shared" si="7"/>
        <v>124.222292615642</v>
      </c>
      <c r="J47" s="3">
        <f t="shared" si="8"/>
        <v>1.2323776933048536</v>
      </c>
      <c r="K47">
        <f t="shared" ref="K47:L47" si="63">K13</f>
        <v>113.20210695266699</v>
      </c>
      <c r="L47">
        <f t="shared" si="63"/>
        <v>0.69453502064843597</v>
      </c>
      <c r="M47" s="3">
        <f t="shared" si="10"/>
        <v>1</v>
      </c>
      <c r="N47">
        <f t="shared" ref="N47:O47" si="64">N13</f>
        <v>114.972236995706</v>
      </c>
      <c r="O47">
        <f t="shared" si="64"/>
        <v>0.65077951294165304</v>
      </c>
      <c r="P47" s="3">
        <f t="shared" si="12"/>
        <v>1.0658131603586787</v>
      </c>
      <c r="Q47">
        <f t="shared" ref="Q47:R47" si="65">Q13</f>
        <v>123.86029724198799</v>
      </c>
      <c r="R47">
        <f t="shared" si="65"/>
        <v>0.75305684688113494</v>
      </c>
      <c r="S47" s="3">
        <f t="shared" si="14"/>
        <v>1.1431549498929088</v>
      </c>
      <c r="T47">
        <f t="shared" ref="T47:U47" si="66">T13</f>
        <v>125.75362722898799</v>
      </c>
      <c r="U47">
        <f t="shared" si="66"/>
        <v>0.81922691508266399</v>
      </c>
      <c r="V47" s="3">
        <f t="shared" si="16"/>
        <v>1.0310413229248669</v>
      </c>
      <c r="W47">
        <f t="shared" ref="W47:X47" si="67">W13</f>
        <v>115.559862513445</v>
      </c>
      <c r="X47">
        <f t="shared" si="67"/>
        <v>0.64078675779153704</v>
      </c>
    </row>
    <row r="48" spans="1:24" x14ac:dyDescent="0.2">
      <c r="A48">
        <v>98</v>
      </c>
      <c r="B48">
        <v>3353</v>
      </c>
      <c r="C48">
        <f t="shared" si="1"/>
        <v>128.672337532043</v>
      </c>
      <c r="D48" s="3">
        <f t="shared" si="2"/>
        <v>7.9487052980997497</v>
      </c>
      <c r="E48">
        <f t="shared" si="3"/>
        <v>108.518836015673</v>
      </c>
      <c r="F48" s="3">
        <f t="shared" si="4"/>
        <v>8.4104644349255882</v>
      </c>
      <c r="G48">
        <f t="shared" si="5"/>
        <v>100.387582866169</v>
      </c>
      <c r="H48" s="3">
        <f t="shared" si="6"/>
        <v>8.1049544410944119</v>
      </c>
      <c r="I48">
        <f t="shared" si="7"/>
        <v>118.30291235061</v>
      </c>
      <c r="J48" s="3">
        <f t="shared" si="8"/>
        <v>8.345378549141417</v>
      </c>
      <c r="K48">
        <f t="shared" ref="K48:L48" si="68">K14</f>
        <v>197.14231491088799</v>
      </c>
      <c r="L48">
        <f t="shared" si="68"/>
        <v>2.52822329315581</v>
      </c>
      <c r="M48" s="3">
        <f t="shared" si="10"/>
        <v>1.2005543287255829</v>
      </c>
      <c r="N48">
        <f t="shared" ref="N48:O48" si="69">N14</f>
        <v>198.655282308875</v>
      </c>
      <c r="O48">
        <f t="shared" si="69"/>
        <v>0.34840919764515299</v>
      </c>
      <c r="P48" s="3">
        <f t="shared" si="12"/>
        <v>2.51719461807996</v>
      </c>
      <c r="Q48">
        <f t="shared" ref="Q48:R48" si="70">Q14</f>
        <v>194.314928147572</v>
      </c>
      <c r="R48">
        <f t="shared" si="70"/>
        <v>0.85791869228458795</v>
      </c>
      <c r="S48" s="3">
        <f t="shared" si="14"/>
        <v>2.2677270916886352</v>
      </c>
      <c r="T48">
        <f t="shared" ref="T48:U48" si="71">T14</f>
        <v>194.40492231220199</v>
      </c>
      <c r="U48">
        <f t="shared" si="71"/>
        <v>0.62201967979365202</v>
      </c>
      <c r="V48" s="3">
        <f t="shared" si="16"/>
        <v>1</v>
      </c>
      <c r="W48">
        <f t="shared" ref="W48:X48" si="72">W14</f>
        <v>200</v>
      </c>
      <c r="X48">
        <f t="shared" si="72"/>
        <v>0.28084698149159698</v>
      </c>
    </row>
    <row r="49" spans="1:24" x14ac:dyDescent="0.2">
      <c r="A49">
        <v>838</v>
      </c>
      <c r="B49">
        <v>3067</v>
      </c>
      <c r="C49">
        <f t="shared" si="1"/>
        <v>116.60376787185599</v>
      </c>
      <c r="D49" s="3">
        <f t="shared" si="2"/>
        <v>1.3518927250949877</v>
      </c>
      <c r="E49">
        <f t="shared" si="3"/>
        <v>69.833062539563002</v>
      </c>
      <c r="F49" s="3">
        <f t="shared" si="4"/>
        <v>2.0728619012866347</v>
      </c>
      <c r="G49">
        <f t="shared" si="5"/>
        <v>88.844162979500993</v>
      </c>
      <c r="H49" s="3">
        <f t="shared" si="6"/>
        <v>1.3643840551453175</v>
      </c>
      <c r="I49">
        <f t="shared" si="7"/>
        <v>93.948733425031506</v>
      </c>
      <c r="J49" s="3">
        <f t="shared" si="8"/>
        <v>1.6763898980470435</v>
      </c>
      <c r="K49">
        <f t="shared" ref="K49:L49" si="73">K15</f>
        <v>117.800438404083</v>
      </c>
      <c r="L49">
        <f t="shared" si="73"/>
        <v>1.1406077802586201</v>
      </c>
      <c r="M49" s="3">
        <f t="shared" si="10"/>
        <v>1.2701424079251578</v>
      </c>
      <c r="N49">
        <f t="shared" ref="N49:O49" si="74">N15</f>
        <v>96.573023574976304</v>
      </c>
      <c r="O49">
        <f t="shared" si="74"/>
        <v>1.0686986186384599</v>
      </c>
      <c r="P49" s="3">
        <f t="shared" si="12"/>
        <v>1</v>
      </c>
      <c r="Q49">
        <f t="shared" ref="Q49:R49" si="75">Q15</f>
        <v>87.033742408132397</v>
      </c>
      <c r="R49">
        <f t="shared" si="75"/>
        <v>0.84633040883958699</v>
      </c>
      <c r="S49" s="3">
        <f t="shared" si="14"/>
        <v>1.4123327163350956</v>
      </c>
      <c r="T49">
        <f t="shared" ref="T49:U49" si="76">T15</f>
        <v>93.652433264245204</v>
      </c>
      <c r="U49">
        <f t="shared" si="76"/>
        <v>1.1914033490362299</v>
      </c>
      <c r="V49" s="3">
        <f t="shared" si="16"/>
        <v>1.2352741001612211</v>
      </c>
      <c r="W49">
        <f t="shared" ref="W49:X49" si="77">W15</f>
        <v>94.682385754964599</v>
      </c>
      <c r="X49">
        <f t="shared" si="77"/>
        <v>1.0282509248654499</v>
      </c>
    </row>
    <row r="50" spans="1:24" x14ac:dyDescent="0.2">
      <c r="A50">
        <v>822</v>
      </c>
      <c r="B50">
        <v>3032</v>
      </c>
      <c r="C50">
        <f t="shared" si="1"/>
        <v>87.329906225204397</v>
      </c>
      <c r="D50" s="3">
        <f t="shared" si="2"/>
        <v>4.5062358256356765</v>
      </c>
      <c r="E50">
        <f t="shared" si="3"/>
        <v>66.8193958736897</v>
      </c>
      <c r="F50" s="3">
        <f t="shared" si="4"/>
        <v>4.7160539641877959</v>
      </c>
      <c r="G50">
        <f t="shared" si="5"/>
        <v>75.115162869265006</v>
      </c>
      <c r="H50" s="3">
        <f t="shared" si="6"/>
        <v>4.9115325921512314</v>
      </c>
      <c r="I50">
        <f t="shared" si="7"/>
        <v>76.525916555625301</v>
      </c>
      <c r="J50" s="3">
        <f t="shared" si="8"/>
        <v>1</v>
      </c>
      <c r="K50">
        <f t="shared" ref="K50:L50" si="78">K16</f>
        <v>119.382894039154</v>
      </c>
      <c r="L50">
        <f t="shared" si="78"/>
        <v>0.54348057655830395</v>
      </c>
      <c r="M50" s="3">
        <f t="shared" si="10"/>
        <v>1.4531725145420227</v>
      </c>
      <c r="N50">
        <f t="shared" ref="N50:O50" si="79">N16</f>
        <v>117.853039235164</v>
      </c>
      <c r="O50">
        <f t="shared" si="79"/>
        <v>0.73394217883056201</v>
      </c>
      <c r="P50" s="3">
        <f t="shared" si="12"/>
        <v>1.1396620905507224</v>
      </c>
      <c r="Q50">
        <f t="shared" ref="Q50:R50" si="80">Q16</f>
        <v>111.66844619485801</v>
      </c>
      <c r="R50">
        <f t="shared" si="80"/>
        <v>0.62827794775077395</v>
      </c>
      <c r="S50" s="3">
        <f t="shared" si="14"/>
        <v>1.2453966207318723</v>
      </c>
      <c r="T50">
        <f t="shared" ref="T50:U50" si="81">T16</f>
        <v>114.554320668402</v>
      </c>
      <c r="U50">
        <f t="shared" si="81"/>
        <v>0.74000009907421005</v>
      </c>
      <c r="V50" s="3">
        <f t="shared" si="16"/>
        <v>1.3412830126483608</v>
      </c>
      <c r="W50">
        <f t="shared" ref="W50:X50" si="82">W16</f>
        <v>118.161861569092</v>
      </c>
      <c r="X50">
        <f t="shared" si="82"/>
        <v>0.62439101374906703</v>
      </c>
    </row>
    <row r="51" spans="1:24" x14ac:dyDescent="0.2">
      <c r="A51">
        <v>749</v>
      </c>
      <c r="B51">
        <v>2932</v>
      </c>
      <c r="C51">
        <f t="shared" si="1"/>
        <v>145.10371685027999</v>
      </c>
      <c r="D51" s="3">
        <f t="shared" si="2"/>
        <v>1.4161108398631743</v>
      </c>
      <c r="E51">
        <f t="shared" si="3"/>
        <v>103.613624658455</v>
      </c>
      <c r="F51" s="3">
        <f t="shared" si="4"/>
        <v>2.3991177505945513</v>
      </c>
      <c r="G51">
        <f t="shared" si="5"/>
        <v>120.793880881535</v>
      </c>
      <c r="H51" s="3">
        <f t="shared" si="6"/>
        <v>4.0553254583754947</v>
      </c>
      <c r="I51">
        <f t="shared" si="7"/>
        <v>145.42549795475799</v>
      </c>
      <c r="J51" s="3">
        <f t="shared" si="8"/>
        <v>2.7658129676079568</v>
      </c>
      <c r="K51">
        <f t="shared" ref="K51:L51" si="83">K17</f>
        <v>142.69176721572799</v>
      </c>
      <c r="L51">
        <f t="shared" si="83"/>
        <v>2.2254973643268898</v>
      </c>
      <c r="M51" s="3">
        <f t="shared" si="10"/>
        <v>1.0144996675642537</v>
      </c>
      <c r="N51">
        <f t="shared" ref="N51:O51" si="84">N17</f>
        <v>122.746931940472</v>
      </c>
      <c r="O51">
        <f t="shared" si="84"/>
        <v>0.872297534848536</v>
      </c>
      <c r="P51" s="3">
        <f t="shared" si="12"/>
        <v>1.164580802845989</v>
      </c>
      <c r="Q51">
        <f t="shared" ref="Q51:R51" si="85">Q17</f>
        <v>124.541116017801</v>
      </c>
      <c r="R51">
        <f t="shared" si="85"/>
        <v>0.95465010069008005</v>
      </c>
      <c r="S51" s="3">
        <f t="shared" si="14"/>
        <v>1.0850140214956978</v>
      </c>
      <c r="T51">
        <f t="shared" ref="T51:U51" si="86">T17</f>
        <v>126.762040171791</v>
      </c>
      <c r="U51">
        <f t="shared" si="86"/>
        <v>1.0273589166272199</v>
      </c>
      <c r="V51" s="3">
        <f t="shared" si="16"/>
        <v>1</v>
      </c>
      <c r="W51">
        <f t="shared" ref="W51:X51" si="87">W17</f>
        <v>123.957638417141</v>
      </c>
      <c r="X51">
        <f t="shared" si="87"/>
        <v>0.83469925148025703</v>
      </c>
    </row>
    <row r="52" spans="1:24" x14ac:dyDescent="0.2">
      <c r="A52">
        <v>782</v>
      </c>
      <c r="B52">
        <v>1679</v>
      </c>
      <c r="C52">
        <f t="shared" si="1"/>
        <v>154.70222234725901</v>
      </c>
      <c r="D52" s="3">
        <f t="shared" si="2"/>
        <v>1.2554601339035909</v>
      </c>
      <c r="E52">
        <f t="shared" si="3"/>
        <v>118.638673008477</v>
      </c>
      <c r="F52" s="3">
        <f t="shared" si="4"/>
        <v>1.3046220250234488</v>
      </c>
      <c r="G52">
        <f t="shared" si="5"/>
        <v>122.785517896423</v>
      </c>
      <c r="H52" s="3">
        <f t="shared" si="6"/>
        <v>1.5595225190127497</v>
      </c>
      <c r="I52">
        <f t="shared" si="7"/>
        <v>149.785598550717</v>
      </c>
      <c r="J52" s="3">
        <f t="shared" si="8"/>
        <v>1</v>
      </c>
      <c r="K52">
        <f t="shared" ref="K52:L52" si="88">K18</f>
        <v>121.641755104064</v>
      </c>
      <c r="L52">
        <f t="shared" si="88"/>
        <v>0.70459194091299004</v>
      </c>
      <c r="M52" s="3">
        <f t="shared" si="10"/>
        <v>1.1683625999740512</v>
      </c>
      <c r="N52">
        <f t="shared" ref="N52:O52" si="89">N18</f>
        <v>118.357695706022</v>
      </c>
      <c r="O52">
        <f t="shared" si="89"/>
        <v>0.72728031735915799</v>
      </c>
      <c r="P52" s="3">
        <f t="shared" si="12"/>
        <v>1.135578088677224</v>
      </c>
      <c r="Q52">
        <f t="shared" ref="Q52:R52" si="90">Q18</f>
        <v>119.140485356266</v>
      </c>
      <c r="R52">
        <f t="shared" si="90"/>
        <v>0.74299424742799203</v>
      </c>
      <c r="S52" s="3">
        <f t="shared" si="14"/>
        <v>1.0175249260563348</v>
      </c>
      <c r="T52">
        <f t="shared" ref="T52:U52" si="91">T18</f>
        <v>111.893030424092</v>
      </c>
      <c r="U52">
        <f t="shared" si="91"/>
        <v>0.62833019417997904</v>
      </c>
      <c r="V52" s="3">
        <f t="shared" si="16"/>
        <v>1.1574709230224494</v>
      </c>
      <c r="W52">
        <f t="shared" ref="W52:X52" si="92">W18</f>
        <v>124.432423854001</v>
      </c>
      <c r="X52">
        <f t="shared" si="92"/>
        <v>0.71925477902944301</v>
      </c>
    </row>
    <row r="53" spans="1:24" x14ac:dyDescent="0.2">
      <c r="A53">
        <v>709</v>
      </c>
      <c r="B53">
        <v>1404</v>
      </c>
      <c r="C53">
        <f t="shared" si="1"/>
        <v>151.33816003799399</v>
      </c>
      <c r="D53" s="3">
        <f t="shared" si="2"/>
        <v>4.1013265839633117</v>
      </c>
      <c r="E53">
        <f t="shared" si="3"/>
        <v>149.68060742710799</v>
      </c>
      <c r="F53" s="3">
        <f t="shared" si="4"/>
        <v>2.573633338259965</v>
      </c>
      <c r="G53">
        <f t="shared" si="5"/>
        <v>117.483850880643</v>
      </c>
      <c r="H53" s="3">
        <f t="shared" si="6"/>
        <v>1.7863146313824663</v>
      </c>
      <c r="I53">
        <f t="shared" si="7"/>
        <v>121.880941494523</v>
      </c>
      <c r="J53" s="3">
        <f t="shared" si="8"/>
        <v>3.1972970968669272</v>
      </c>
      <c r="K53">
        <f t="shared" ref="K53:L53" si="93">K19</f>
        <v>144.94403600692701</v>
      </c>
      <c r="L53">
        <f t="shared" si="93"/>
        <v>4.7057913814140401E-2</v>
      </c>
      <c r="M53" s="3">
        <f t="shared" si="10"/>
        <v>1.4490644368507146</v>
      </c>
      <c r="N53">
        <f t="shared" ref="N53:O53" si="94">N19</f>
        <v>136.04296565472299</v>
      </c>
      <c r="O53">
        <f t="shared" si="94"/>
        <v>1.74429624954297E-2</v>
      </c>
      <c r="P53" s="3">
        <f t="shared" si="12"/>
        <v>3.9509087886590835</v>
      </c>
      <c r="Q53">
        <f t="shared" ref="Q53:R53" si="95">Q19</f>
        <v>175.41944678107299</v>
      </c>
      <c r="R53">
        <f t="shared" si="95"/>
        <v>6.0279135984791003E-2</v>
      </c>
      <c r="S53" s="3">
        <f t="shared" si="14"/>
        <v>1</v>
      </c>
      <c r="T53">
        <f t="shared" ref="T53:U53" si="96">T19</f>
        <v>129.921092774801</v>
      </c>
      <c r="U53">
        <f t="shared" si="96"/>
        <v>1.08118721303074E-2</v>
      </c>
      <c r="V53" s="3">
        <f t="shared" si="16"/>
        <v>1.1964734330655287</v>
      </c>
      <c r="W53">
        <f t="shared" ref="W53:X53" si="97">W19</f>
        <v>179.93916455162301</v>
      </c>
      <c r="X53">
        <f t="shared" si="97"/>
        <v>1.4185505350560099E-2</v>
      </c>
    </row>
    <row r="54" spans="1:24" x14ac:dyDescent="0.2">
      <c r="A54">
        <v>47</v>
      </c>
      <c r="B54">
        <v>1358</v>
      </c>
      <c r="C54">
        <f t="shared" si="1"/>
        <v>117.797064781188</v>
      </c>
      <c r="D54" s="3">
        <f t="shared" si="2"/>
        <v>1.3764701739103036</v>
      </c>
      <c r="E54">
        <f t="shared" si="3"/>
        <v>108.642454975741</v>
      </c>
      <c r="F54" s="3">
        <f t="shared" si="4"/>
        <v>1.9011278853918268</v>
      </c>
      <c r="G54">
        <f t="shared" si="5"/>
        <v>120.138950053352</v>
      </c>
      <c r="H54" s="3">
        <f t="shared" si="6"/>
        <v>1.0687374682931841</v>
      </c>
      <c r="I54">
        <f t="shared" si="7"/>
        <v>105.413201213779</v>
      </c>
      <c r="J54" s="3">
        <f t="shared" si="8"/>
        <v>1.2162519434990526</v>
      </c>
      <c r="K54">
        <f t="shared" ref="K54:L54" si="98">K20</f>
        <v>125.505709648132</v>
      </c>
      <c r="L54">
        <f t="shared" si="98"/>
        <v>0.52649088605069305</v>
      </c>
      <c r="M54" s="3">
        <f t="shared" si="10"/>
        <v>1.1154094107028818</v>
      </c>
      <c r="N54">
        <f t="shared" ref="N54:O54" si="99">N20</f>
        <v>128.55805120079</v>
      </c>
      <c r="O54">
        <f t="shared" si="99"/>
        <v>0.59459657627277496</v>
      </c>
      <c r="P54" s="3">
        <f t="shared" si="12"/>
        <v>1.1939358863749292</v>
      </c>
      <c r="Q54">
        <f t="shared" ref="Q54:R54" si="100">Q20</f>
        <v>130.888065252226</v>
      </c>
      <c r="R54">
        <f t="shared" si="100"/>
        <v>0.67436846941911899</v>
      </c>
      <c r="S54" s="3">
        <f t="shared" si="14"/>
        <v>1.7519790442304652</v>
      </c>
      <c r="T54">
        <f t="shared" ref="T54:U54" si="101">T20</f>
        <v>128.548743360342</v>
      </c>
      <c r="U54">
        <f t="shared" si="101"/>
        <v>0.90694977543061595</v>
      </c>
      <c r="V54" s="3">
        <f t="shared" si="16"/>
        <v>1</v>
      </c>
      <c r="W54">
        <f t="shared" ref="W54:X54" si="102">W20</f>
        <v>123.695009027149</v>
      </c>
      <c r="X54">
        <f t="shared" si="102"/>
        <v>0.53367258989328503</v>
      </c>
    </row>
    <row r="55" spans="1:24" x14ac:dyDescent="0.2">
      <c r="A55">
        <v>123</v>
      </c>
      <c r="B55">
        <v>1250</v>
      </c>
      <c r="C55">
        <f t="shared" si="1"/>
        <v>134.43105220794601</v>
      </c>
      <c r="D55" s="3">
        <f t="shared" si="2"/>
        <v>1.091615536985274</v>
      </c>
      <c r="E55">
        <f t="shared" si="3"/>
        <v>103.327607868361</v>
      </c>
      <c r="F55" s="3">
        <f t="shared" si="4"/>
        <v>1.152888939903115</v>
      </c>
      <c r="G55">
        <f t="shared" si="5"/>
        <v>109.89955625333801</v>
      </c>
      <c r="H55" s="3">
        <f t="shared" si="6"/>
        <v>1.3583905395125886</v>
      </c>
      <c r="I55">
        <f t="shared" si="7"/>
        <v>154.40470849437699</v>
      </c>
      <c r="J55" s="3">
        <f t="shared" si="8"/>
        <v>1.2453190430708245</v>
      </c>
      <c r="K55">
        <f t="shared" ref="K55:L55" si="103">K21</f>
        <v>144.432950019836</v>
      </c>
      <c r="L55">
        <f t="shared" si="103"/>
        <v>1.2460878895726499</v>
      </c>
      <c r="M55" s="3">
        <f t="shared" si="10"/>
        <v>1.0072368122398747</v>
      </c>
      <c r="N55">
        <f t="shared" ref="N55:O55" si="104">N21</f>
        <v>122.037437170256</v>
      </c>
      <c r="O55">
        <f t="shared" si="104"/>
        <v>1.0036738756036701</v>
      </c>
      <c r="P55" s="3">
        <f t="shared" si="12"/>
        <v>1</v>
      </c>
      <c r="Q55">
        <f t="shared" ref="Q55:R55" si="105">Q21</f>
        <v>124.61241285371401</v>
      </c>
      <c r="R55">
        <f t="shared" si="105"/>
        <v>1.0213581729063499</v>
      </c>
      <c r="S55" s="3">
        <f t="shared" si="14"/>
        <v>1.0846311591006759</v>
      </c>
      <c r="T55">
        <f t="shared" ref="T55:U55" si="106">T21</f>
        <v>124.030856643213</v>
      </c>
      <c r="U55">
        <f t="shared" si="106"/>
        <v>1.00943303863156</v>
      </c>
      <c r="V55" s="3">
        <f t="shared" si="16"/>
        <v>1.0215815651781941</v>
      </c>
      <c r="W55">
        <f t="shared" ref="W55:X55" si="107">W21</f>
        <v>118.03456551110401</v>
      </c>
      <c r="X55">
        <f t="shared" si="107"/>
        <v>0.94362754517686398</v>
      </c>
    </row>
    <row r="56" spans="1:24" x14ac:dyDescent="0.2">
      <c r="A56">
        <v>724</v>
      </c>
      <c r="B56">
        <v>1203</v>
      </c>
      <c r="C56">
        <f t="shared" si="1"/>
        <v>66.011899709701495</v>
      </c>
      <c r="D56" s="3">
        <f t="shared" si="2"/>
        <v>1</v>
      </c>
      <c r="E56">
        <f t="shared" si="3"/>
        <v>52.533057137263</v>
      </c>
      <c r="F56" s="3">
        <f t="shared" si="4"/>
        <v>1.0469526169402048</v>
      </c>
      <c r="G56">
        <f t="shared" si="5"/>
        <v>57.703243994080601</v>
      </c>
      <c r="H56" s="3">
        <f t="shared" si="6"/>
        <v>1.0742748204246952</v>
      </c>
      <c r="I56">
        <f t="shared" si="7"/>
        <v>64.605695537749995</v>
      </c>
      <c r="J56" s="3">
        <f t="shared" si="8"/>
        <v>1.392586637535207</v>
      </c>
      <c r="K56">
        <f t="shared" ref="K56:L56" si="108">K22</f>
        <v>74.324673414230304</v>
      </c>
      <c r="L56">
        <f t="shared" si="108"/>
        <v>0.90471034257557903</v>
      </c>
      <c r="M56" s="3">
        <f t="shared" si="10"/>
        <v>1.1306822616489316</v>
      </c>
      <c r="N56">
        <f t="shared" ref="N56:O56" si="109">N22</f>
        <v>63.221293330704903</v>
      </c>
      <c r="O56">
        <f t="shared" si="109"/>
        <v>0.78321939148836595</v>
      </c>
      <c r="P56" s="3">
        <f t="shared" si="12"/>
        <v>1.0332325707976897</v>
      </c>
      <c r="Q56">
        <f t="shared" ref="Q56:R56" si="110">Q22</f>
        <v>58.480188139132999</v>
      </c>
      <c r="R56">
        <f t="shared" si="110"/>
        <v>0.69167804184465698</v>
      </c>
      <c r="S56" s="3">
        <f t="shared" si="14"/>
        <v>1.0261577240731299</v>
      </c>
      <c r="T56">
        <f t="shared" ref="T56:U56" si="111">T22</f>
        <v>60.435498919540201</v>
      </c>
      <c r="U56">
        <f t="shared" si="111"/>
        <v>0.73599787686661899</v>
      </c>
      <c r="V56" s="3">
        <f t="shared" si="16"/>
        <v>1.0453337796970734</v>
      </c>
      <c r="W56">
        <f t="shared" ref="W56:X56" si="112">W22</f>
        <v>58.058397141961301</v>
      </c>
      <c r="X56">
        <f t="shared" si="112"/>
        <v>0.68920877747931497</v>
      </c>
    </row>
    <row r="57" spans="1:24" x14ac:dyDescent="0.2">
      <c r="A57">
        <v>792</v>
      </c>
      <c r="B57">
        <v>1097</v>
      </c>
      <c r="C57">
        <f t="shared" si="1"/>
        <v>79.760813713073702</v>
      </c>
      <c r="D57" s="3">
        <f t="shared" si="2"/>
        <v>1.647697643971161</v>
      </c>
      <c r="E57">
        <f t="shared" si="3"/>
        <v>67.187267073702401</v>
      </c>
      <c r="F57" s="3">
        <f t="shared" si="4"/>
        <v>1.6353307726574617</v>
      </c>
      <c r="G57">
        <f t="shared" si="5"/>
        <v>70.731785446937295</v>
      </c>
      <c r="H57" s="3">
        <f t="shared" si="6"/>
        <v>1.8771859653224254</v>
      </c>
      <c r="I57">
        <f t="shared" si="7"/>
        <v>78.286205018714497</v>
      </c>
      <c r="J57" s="3">
        <f t="shared" si="8"/>
        <v>1.1507032488636362</v>
      </c>
      <c r="K57">
        <f t="shared" ref="K57:L57" si="113">K23</f>
        <v>104.033279418945</v>
      </c>
      <c r="L57">
        <f t="shared" si="113"/>
        <v>0.88079189761880805</v>
      </c>
      <c r="M57" s="3">
        <f t="shared" si="10"/>
        <v>1.0378030128553164</v>
      </c>
      <c r="N57">
        <f t="shared" ref="N57:O57" si="114">N23</f>
        <v>94.133718043341204</v>
      </c>
      <c r="O57">
        <f t="shared" si="114"/>
        <v>0.81571525524371902</v>
      </c>
      <c r="P57" s="3">
        <f t="shared" si="12"/>
        <v>1.0751666407743403</v>
      </c>
      <c r="Q57">
        <f t="shared" ref="Q57:R57" si="115">Q23</f>
        <v>98.419952267252498</v>
      </c>
      <c r="R57">
        <f t="shared" si="115"/>
        <v>0.82589545073096404</v>
      </c>
      <c r="S57" s="3">
        <f t="shared" si="14"/>
        <v>1</v>
      </c>
      <c r="T57">
        <f t="shared" ref="T57:U57" si="116">T23</f>
        <v>88.123915811447603</v>
      </c>
      <c r="U57">
        <f t="shared" si="116"/>
        <v>0.73181855951542096</v>
      </c>
      <c r="V57" s="3">
        <f t="shared" si="16"/>
        <v>1.0450528663349519</v>
      </c>
      <c r="W57">
        <f t="shared" ref="W57:X57" si="117">W23</f>
        <v>95.175865444042202</v>
      </c>
      <c r="X57">
        <f t="shared" si="117"/>
        <v>0.811830729269578</v>
      </c>
    </row>
    <row r="58" spans="1:24" x14ac:dyDescent="0.2">
      <c r="A58">
        <v>777</v>
      </c>
      <c r="B58">
        <v>687</v>
      </c>
      <c r="C58">
        <f t="shared" si="1"/>
        <v>148.65896701812699</v>
      </c>
      <c r="D58" s="3">
        <f t="shared" si="2"/>
        <v>3.2367140297434531</v>
      </c>
      <c r="E58">
        <f t="shared" si="3"/>
        <v>122.70732008637</v>
      </c>
      <c r="F58" s="3">
        <f t="shared" si="4"/>
        <v>2.9056289387656467</v>
      </c>
      <c r="G58">
        <f t="shared" si="5"/>
        <v>117.646081815646</v>
      </c>
      <c r="H58" s="3">
        <f t="shared" si="6"/>
        <v>3.2740937599604432</v>
      </c>
      <c r="I58">
        <f t="shared" si="7"/>
        <v>106.277995002899</v>
      </c>
      <c r="J58" s="3">
        <f t="shared" si="8"/>
        <v>1.61774034175675</v>
      </c>
      <c r="K58">
        <f t="shared" ref="K58:L58" si="118">K24</f>
        <v>156.89851045608501</v>
      </c>
      <c r="L58">
        <f t="shared" si="118"/>
        <v>0.93940878809886796</v>
      </c>
      <c r="M58" s="3">
        <f t="shared" si="10"/>
        <v>1.0589834566680691</v>
      </c>
      <c r="N58">
        <f t="shared" ref="N58:O58" si="119">N24</f>
        <v>148.45549180987899</v>
      </c>
      <c r="O58">
        <f t="shared" si="119"/>
        <v>0.83128728193778301</v>
      </c>
      <c r="P58" s="3">
        <f t="shared" si="12"/>
        <v>1.3215976787969592</v>
      </c>
      <c r="Q58">
        <f t="shared" ref="Q58:R58" si="120">Q24</f>
        <v>155.65016275410201</v>
      </c>
      <c r="R58">
        <f t="shared" si="120"/>
        <v>1.07761428518298</v>
      </c>
      <c r="S58" s="3">
        <f t="shared" si="14"/>
        <v>1.0374382617419007</v>
      </c>
      <c r="T58">
        <f t="shared" ref="T58:U58" si="121">T24</f>
        <v>150.82582594017799</v>
      </c>
      <c r="U58">
        <f t="shared" si="121"/>
        <v>0.71473181956298504</v>
      </c>
      <c r="V58" s="3">
        <f t="shared" si="16"/>
        <v>1</v>
      </c>
      <c r="W58">
        <f t="shared" ref="W58:X58" si="122">W24</f>
        <v>147.606314401573</v>
      </c>
      <c r="X58">
        <f t="shared" si="122"/>
        <v>0.703851432560894</v>
      </c>
    </row>
    <row r="59" spans="1:24" x14ac:dyDescent="0.2">
      <c r="A59">
        <v>197</v>
      </c>
      <c r="B59">
        <v>622</v>
      </c>
      <c r="C59">
        <f t="shared" si="1"/>
        <v>137.20843791961599</v>
      </c>
      <c r="D59" s="3">
        <f t="shared" si="2"/>
        <v>1.2193626702342932</v>
      </c>
      <c r="E59">
        <f t="shared" si="3"/>
        <v>110.297447110764</v>
      </c>
      <c r="F59" s="3">
        <f t="shared" si="4"/>
        <v>1.8602152533930338</v>
      </c>
      <c r="G59">
        <f t="shared" si="5"/>
        <v>122.01955418508901</v>
      </c>
      <c r="H59" s="3">
        <f t="shared" si="6"/>
        <v>1.5570797144079351</v>
      </c>
      <c r="I59">
        <f t="shared" si="7"/>
        <v>133.770055956596</v>
      </c>
      <c r="J59" s="3">
        <f t="shared" si="8"/>
        <v>1.0924864875717228</v>
      </c>
      <c r="K59">
        <f t="shared" ref="K59:L59" si="123">K25</f>
        <v>141.53647422790499</v>
      </c>
      <c r="L59">
        <f t="shared" si="123"/>
        <v>0.88080082790548897</v>
      </c>
      <c r="M59" s="3">
        <f t="shared" si="10"/>
        <v>1.0782796877479264</v>
      </c>
      <c r="N59">
        <f t="shared" ref="N59:O59" si="124">N25</f>
        <v>138.62396766183599</v>
      </c>
      <c r="O59">
        <f t="shared" si="124"/>
        <v>0.801083913540654</v>
      </c>
      <c r="P59" s="3">
        <f t="shared" si="12"/>
        <v>1</v>
      </c>
      <c r="Q59">
        <f t="shared" ref="Q59:R59" si="125">Q25</f>
        <v>138.715710608748</v>
      </c>
      <c r="R59">
        <f t="shared" si="125"/>
        <v>0.81245674730678796</v>
      </c>
      <c r="S59" s="3">
        <f t="shared" si="14"/>
        <v>1.4485188112137042</v>
      </c>
      <c r="T59">
        <f t="shared" ref="T59:U59" si="126">T25</f>
        <v>162.26183761157799</v>
      </c>
      <c r="U59">
        <f t="shared" si="126"/>
        <v>1.5530315522048199</v>
      </c>
      <c r="V59" s="3">
        <f t="shared" si="16"/>
        <v>1.0954552021874768</v>
      </c>
      <c r="W59">
        <f t="shared" ref="W59:X59" si="127">W25</f>
        <v>138.11189957366</v>
      </c>
      <c r="X59">
        <f t="shared" si="127"/>
        <v>0.76208838973752302</v>
      </c>
    </row>
    <row r="60" spans="1:24" x14ac:dyDescent="0.2">
      <c r="A60">
        <v>816</v>
      </c>
      <c r="B60">
        <v>619</v>
      </c>
      <c r="C60">
        <f t="shared" si="1"/>
        <v>78.685098886489797</v>
      </c>
      <c r="D60" s="3">
        <f t="shared" si="2"/>
        <v>3.413149925778022</v>
      </c>
      <c r="E60">
        <f t="shared" si="3"/>
        <v>35.755389394471898</v>
      </c>
      <c r="F60" s="3">
        <f t="shared" si="4"/>
        <v>1</v>
      </c>
      <c r="G60">
        <f t="shared" si="5"/>
        <v>13.6253546585612</v>
      </c>
      <c r="H60" s="3">
        <f t="shared" si="6"/>
        <v>6.4905291430505008</v>
      </c>
      <c r="I60">
        <f t="shared" si="7"/>
        <v>141.28292817567799</v>
      </c>
      <c r="J60" s="3">
        <f t="shared" si="8"/>
        <v>9.920030578905493</v>
      </c>
      <c r="K60">
        <f t="shared" ref="K60:L60" si="128">K26</f>
        <v>180.72794675827001</v>
      </c>
      <c r="L60">
        <f t="shared" si="128"/>
        <v>0.97839806156125297</v>
      </c>
      <c r="M60" s="3">
        <f t="shared" si="10"/>
        <v>4.0472958992115391</v>
      </c>
      <c r="N60">
        <f t="shared" ref="N60:O60" si="129">N26</f>
        <v>165.115785363583</v>
      </c>
      <c r="O60">
        <f t="shared" si="129"/>
        <v>0.376105930738172</v>
      </c>
      <c r="P60" s="3">
        <f t="shared" si="12"/>
        <v>7.8287674720533831</v>
      </c>
      <c r="Q60">
        <f t="shared" ref="Q60:R60" si="130">Q26</f>
        <v>187.52951026932001</v>
      </c>
      <c r="R60">
        <f t="shared" si="130"/>
        <v>0.77131816783321605</v>
      </c>
      <c r="S60" s="3">
        <f t="shared" si="14"/>
        <v>5.0778476425669856</v>
      </c>
      <c r="T60">
        <f t="shared" ref="T60:U60" si="131">T26</f>
        <v>179.389870103319</v>
      </c>
      <c r="U60">
        <f t="shared" si="131"/>
        <v>0.53053775839263395</v>
      </c>
      <c r="V60" s="3">
        <f t="shared" si="16"/>
        <v>3.8587192368059196</v>
      </c>
      <c r="W60">
        <f t="shared" ref="W60:X60" si="132">W26</f>
        <v>175.461887997254</v>
      </c>
      <c r="X60">
        <f t="shared" si="132"/>
        <v>0.34995795254200901</v>
      </c>
    </row>
    <row r="61" spans="1:24" x14ac:dyDescent="0.2">
      <c r="A61">
        <v>714</v>
      </c>
      <c r="B61">
        <v>490</v>
      </c>
      <c r="C61">
        <f t="shared" si="1"/>
        <v>182.45965242385799</v>
      </c>
      <c r="D61" s="3">
        <f t="shared" si="2"/>
        <v>26.167280672194767</v>
      </c>
      <c r="E61">
        <f t="shared" si="3"/>
        <v>149.79929850722701</v>
      </c>
      <c r="F61" s="3">
        <f t="shared" si="4"/>
        <v>21.669381988009565</v>
      </c>
      <c r="G61">
        <f t="shared" si="5"/>
        <v>79.511542638533001</v>
      </c>
      <c r="H61" s="3">
        <f t="shared" si="6"/>
        <v>24.736212764147261</v>
      </c>
      <c r="I61">
        <f t="shared" si="7"/>
        <v>189.00517161652999</v>
      </c>
      <c r="J61" s="3">
        <f t="shared" si="8"/>
        <v>4.2575175509107934</v>
      </c>
      <c r="K61">
        <f t="shared" ref="K61:L61" si="133">K27</f>
        <v>156.66575431823699</v>
      </c>
      <c r="L61">
        <f t="shared" si="133"/>
        <v>0.61206830740460905</v>
      </c>
      <c r="M61" s="3">
        <f t="shared" si="10"/>
        <v>1</v>
      </c>
      <c r="N61">
        <f t="shared" ref="N61:O61" si="134">N27</f>
        <v>114.938792221727</v>
      </c>
      <c r="O61">
        <f t="shared" si="134"/>
        <v>0.27708425518329199</v>
      </c>
      <c r="P61" s="3">
        <f t="shared" si="12"/>
        <v>1.6806625676023466</v>
      </c>
      <c r="Q61">
        <f t="shared" ref="Q61:R61" si="135">Q27</f>
        <v>143.28896404776501</v>
      </c>
      <c r="R61">
        <f t="shared" si="135"/>
        <v>0.47990780484968698</v>
      </c>
      <c r="S61" s="3">
        <f t="shared" si="14"/>
        <v>1.1053342481337818</v>
      </c>
      <c r="T61">
        <f t="shared" ref="T61:U61" si="136">T27</f>
        <v>162.897702648522</v>
      </c>
      <c r="U61">
        <f t="shared" si="136"/>
        <v>0.25033944594541302</v>
      </c>
      <c r="V61" s="3">
        <f t="shared" si="16"/>
        <v>1.0941551911406824</v>
      </c>
      <c r="W61">
        <f t="shared" ref="W61:X61" si="137">W27</f>
        <v>150.94379944575999</v>
      </c>
      <c r="X61">
        <f t="shared" si="137"/>
        <v>0.29241382058599902</v>
      </c>
    </row>
    <row r="62" spans="1:24" x14ac:dyDescent="0.2">
      <c r="A62">
        <v>877</v>
      </c>
      <c r="B62">
        <v>412</v>
      </c>
      <c r="C62">
        <f>C28</f>
        <v>139.29094076156599</v>
      </c>
      <c r="D62" s="3">
        <f>D28/MIN(D28,F28,H28,J28,M28,P28,S28,V28)</f>
        <v>3.7675768490381403</v>
      </c>
      <c r="E62">
        <f>E28</f>
        <v>143.36432362522399</v>
      </c>
      <c r="F62" s="3">
        <f>F28/MIN($D28,$F28,$H28,$J28,$M28,$P28,$S28,$V28)</f>
        <v>3.3851796104307605</v>
      </c>
      <c r="G62">
        <f>G28</f>
        <v>142.601417020133</v>
      </c>
      <c r="H62" s="3">
        <f>H28/MIN($D28,$F28,$H28,$J28,$M28,$P28,$S28,$V28)</f>
        <v>3.6908230294048208</v>
      </c>
      <c r="I62">
        <f>I28</f>
        <v>132.21917995451301</v>
      </c>
      <c r="J62" s="3">
        <f>J28/MIN($D28,$F28,$H28,$J28,$M28,$P28,$S28,$V28)</f>
        <v>1.6378976942852244</v>
      </c>
      <c r="K62">
        <f t="shared" ref="K62:L62" si="138">K28</f>
        <v>170.763039588928</v>
      </c>
      <c r="L62">
        <f t="shared" si="138"/>
        <v>0.93126040376166996</v>
      </c>
      <c r="M62" s="3">
        <f>M28/MIN($D28,$F28,$H28,$J28,$M28,$P28,$S28,$V28)</f>
        <v>1.0259188936420813</v>
      </c>
      <c r="N62">
        <f t="shared" ref="N62:O62" si="139">N28</f>
        <v>166.113674015681</v>
      </c>
      <c r="O62">
        <f t="shared" si="139"/>
        <v>0.497582408090738</v>
      </c>
      <c r="P62" s="3">
        <f>P28/MIN($D28,$F28,$H28,$J28,$M28,$P28,$S28,$V28)</f>
        <v>1.0737876801051871</v>
      </c>
      <c r="Q62">
        <f t="shared" ref="Q62:R62" si="140">Q28</f>
        <v>173.41995129045401</v>
      </c>
      <c r="R62">
        <f t="shared" si="140"/>
        <v>0.64462945047375098</v>
      </c>
      <c r="S62" s="3">
        <f>S28/MIN($D28,$F28,$H28,$J28,$M28,$P28,$S28,$V28)</f>
        <v>1.0620066164807016</v>
      </c>
      <c r="T62">
        <f t="shared" ref="T62:U62" si="141">T28</f>
        <v>173.11754019679501</v>
      </c>
      <c r="U62">
        <f t="shared" si="141"/>
        <v>0.73036605834003099</v>
      </c>
      <c r="V62" s="3">
        <f>V28/MIN($D28,$F28,$H28,$J28,$M28,$P28,$S28,$V28)</f>
        <v>1</v>
      </c>
      <c r="W62">
        <f t="shared" ref="W62:X62" si="142">W28</f>
        <v>164.24968015754899</v>
      </c>
      <c r="X62">
        <f t="shared" si="142"/>
        <v>0.39817987980923503</v>
      </c>
    </row>
    <row r="63" spans="1:24" x14ac:dyDescent="0.2">
      <c r="A63">
        <v>168</v>
      </c>
      <c r="B63">
        <v>410</v>
      </c>
      <c r="C63">
        <f>C29</f>
        <v>136.284005641937</v>
      </c>
      <c r="D63" s="3">
        <f>D29/MIN(D29,F29,H29,J29,M29,P29,S29,V29)</f>
        <v>1.9418388301155096</v>
      </c>
      <c r="E63">
        <f>E29</f>
        <v>93.686568873645399</v>
      </c>
      <c r="F63" s="3">
        <f>F29/MIN($D29,$F29,$H29,$J29,$M29,$P29,$S29,$V29)</f>
        <v>2.1996787508275655</v>
      </c>
      <c r="G63">
        <f>G29</f>
        <v>111.075107197431</v>
      </c>
      <c r="H63" s="3">
        <f>H29/MIN($D29,$F29,$H29,$J29,$M29,$P29,$S29,$V29)</f>
        <v>2.400302485635923</v>
      </c>
      <c r="I63">
        <f>I29</f>
        <v>140.74183261827201</v>
      </c>
      <c r="J63" s="3">
        <f>J29/MIN($D29,$F29,$H29,$J29,$M29,$P29,$S29,$V29)</f>
        <v>1</v>
      </c>
      <c r="K63">
        <f t="shared" ref="K63:L63" si="143">K29</f>
        <v>127.82334089279099</v>
      </c>
      <c r="L63">
        <f t="shared" si="143"/>
        <v>0.85538495452976004</v>
      </c>
      <c r="M63" s="3">
        <f>M29/MIN($D29,$F29,$H29,$J29,$M29,$P29,$S29,$V29)</f>
        <v>1.1125273657438015</v>
      </c>
      <c r="N63">
        <f t="shared" ref="N63:O63" si="144">N29</f>
        <v>130.186505921953</v>
      </c>
      <c r="O63">
        <f t="shared" si="144"/>
        <v>1.0262374104737499</v>
      </c>
      <c r="P63" s="3">
        <f>P29/MIN($D29,$F29,$H29,$J29,$M29,$P29,$S29,$V29)</f>
        <v>1.1172908480718395</v>
      </c>
      <c r="Q63">
        <f t="shared" ref="Q63:R63" si="145">Q29</f>
        <v>127.904062471096</v>
      </c>
      <c r="R63">
        <f t="shared" si="145"/>
        <v>1.0011625703154901</v>
      </c>
      <c r="S63" s="3">
        <f>S29/MIN($D29,$F29,$H29,$J29,$M29,$P29,$S29,$V29)</f>
        <v>1.0584287091863749</v>
      </c>
      <c r="T63">
        <f t="shared" ref="T63:U63" si="146">T29</f>
        <v>135.56905733423599</v>
      </c>
      <c r="U63">
        <f t="shared" si="146"/>
        <v>1.0838470016639501</v>
      </c>
      <c r="V63" s="3">
        <f>V29/MIN($D29,$F29,$H29,$J29,$M29,$P29,$S29,$V29)</f>
        <v>1.1209488789492585</v>
      </c>
      <c r="W63">
        <f t="shared" ref="W63:X63" si="147">W29</f>
        <v>133.673056704038</v>
      </c>
      <c r="X63">
        <f t="shared" si="147"/>
        <v>1.06340561145852</v>
      </c>
    </row>
    <row r="64" spans="1:24" x14ac:dyDescent="0.2">
      <c r="A64">
        <v>712</v>
      </c>
      <c r="B64">
        <v>386</v>
      </c>
      <c r="C64">
        <f>C30</f>
        <v>103.05385589599599</v>
      </c>
      <c r="D64" s="3">
        <f>D30/MIN(D30,F30,H30,J30,M30,P30,S30,V30)</f>
        <v>1.5111982985500496</v>
      </c>
      <c r="E64">
        <f>E30</f>
        <v>76.555020395190994</v>
      </c>
      <c r="F64" s="3">
        <f>F30/MIN($D30,$F30,$H30,$J30,$M30,$P30,$S30,$V30)</f>
        <v>1.2185507199181516</v>
      </c>
      <c r="G64">
        <f>G30</f>
        <v>63.370804764621298</v>
      </c>
      <c r="H64" s="3">
        <f>H30/MIN($D30,$F30,$H30,$J30,$M30,$P30,$S30,$V30)</f>
        <v>1.7201003270084461</v>
      </c>
      <c r="I64">
        <f>I30</f>
        <v>78.2585624531131</v>
      </c>
      <c r="J64" s="3">
        <f>J30/MIN($D30,$F30,$H30,$J30,$M30,$P30,$S30,$V30)</f>
        <v>1.3416037791067967</v>
      </c>
      <c r="K64">
        <f t="shared" ref="K64:L64" si="148">K30</f>
        <v>139.62435722351</v>
      </c>
      <c r="L64">
        <f t="shared" si="148"/>
        <v>0.64130325911467601</v>
      </c>
      <c r="M64" s="3">
        <f>M30/MIN($D30,$F30,$H30,$J30,$M30,$P30,$S30,$V30)</f>
        <v>1</v>
      </c>
      <c r="N64">
        <f t="shared" ref="N64:O64" si="149">N30</f>
        <v>119.022225869639</v>
      </c>
      <c r="O64">
        <f t="shared" si="149"/>
        <v>0.50950751744375999</v>
      </c>
      <c r="P64" s="3">
        <f>P30/MIN($D30,$F30,$H30,$J30,$M30,$P30,$S30,$V30)</f>
        <v>1.0941382082743718</v>
      </c>
      <c r="Q64">
        <f t="shared" ref="Q64:R64" si="150">Q30</f>
        <v>128.40833793745</v>
      </c>
      <c r="R64">
        <f t="shared" si="150"/>
        <v>0.67113291497903205</v>
      </c>
      <c r="S64" s="3">
        <f>S30/MIN($D30,$F30,$H30,$J30,$M30,$P30,$S30,$V30)</f>
        <v>1.8801584257160138</v>
      </c>
      <c r="T64">
        <f t="shared" ref="T64:U64" si="151">T30</f>
        <v>141.19912806924401</v>
      </c>
      <c r="U64">
        <f t="shared" si="151"/>
        <v>1.2731818256185301</v>
      </c>
      <c r="V64" s="3">
        <f>V30/MIN($D30,$F30,$H30,$J30,$M30,$P30,$S30,$V30)</f>
        <v>1.0299392551494253</v>
      </c>
      <c r="W64">
        <f t="shared" ref="W64:X64" si="152">W30</f>
        <v>129.13123669313899</v>
      </c>
      <c r="X64">
        <f t="shared" si="152"/>
        <v>0.55355241104122799</v>
      </c>
    </row>
    <row r="65" spans="2:24" x14ac:dyDescent="0.2">
      <c r="B65" t="s">
        <v>24</v>
      </c>
      <c r="C65">
        <f>AVERAGE(C36:C64)</f>
        <v>122.60544752252468</v>
      </c>
      <c r="D65" s="4">
        <f>AVERAGE(D36:D64)</f>
        <v>2.879715822870029</v>
      </c>
      <c r="E65">
        <f>AVERAGE(E36:E64)</f>
        <v>94.591637723552395</v>
      </c>
      <c r="F65" s="4">
        <f>AVERAGE(F36:F64)</f>
        <v>2.7579754987980256</v>
      </c>
      <c r="G65">
        <f>AVERAGE(G36:G64)</f>
        <v>95.849788710808582</v>
      </c>
      <c r="H65" s="4">
        <f>AVERAGE(H36:H64)</f>
        <v>3.2758615011845928</v>
      </c>
      <c r="I65">
        <f>AVERAGE(I36:I64)</f>
        <v>118.11488328005231</v>
      </c>
      <c r="J65" s="4">
        <f>AVERAGE(J36:J64)</f>
        <v>2.0462288645516766</v>
      </c>
      <c r="K65">
        <f>AVERAGE(K36:K64)</f>
        <v>125.21680737363843</v>
      </c>
      <c r="L65">
        <f>AVERAGE(L36:L64)</f>
        <v>0.92812900426022882</v>
      </c>
      <c r="M65" s="4">
        <f>AVERAGE(M36:M64)</f>
        <v>1.2270487963478212</v>
      </c>
      <c r="N65">
        <f>AVERAGE(N36:N64)</f>
        <v>115.37277677876622</v>
      </c>
      <c r="O65">
        <f>AVERAGE(O36:O64)</f>
        <v>0.73359354792325648</v>
      </c>
      <c r="P65" s="4">
        <f>AVERAGE(P36:P64)</f>
        <v>1.4896355653791034</v>
      </c>
      <c r="Q65">
        <f>AVERAGE(Q36:Q64)</f>
        <v>118.23901547696885</v>
      </c>
      <c r="R65">
        <f>AVERAGE(R36:R64)</f>
        <v>0.75878785285991868</v>
      </c>
      <c r="S65" s="4">
        <f>AVERAGE(S36:S64)</f>
        <v>1.4212653838921185</v>
      </c>
      <c r="T65">
        <f>AVERAGE(T36:T64)</f>
        <v>120.97778845284951</v>
      </c>
      <c r="U65">
        <f>AVERAGE(U36:U64)</f>
        <v>0.86746140467661326</v>
      </c>
      <c r="V65" s="4">
        <f>AVERAGE(V36:V64)</f>
        <v>1.1936640466776745</v>
      </c>
      <c r="W65">
        <f>AVERAGE(W36:W64)</f>
        <v>119.62887133664267</v>
      </c>
      <c r="X65">
        <f>AVERAGE(X36:X64)</f>
        <v>0.69346562709972226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comparison_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2025-05-31T21:57:08Z</dcterms:created>
  <dcterms:modified xsi:type="dcterms:W3CDTF">2025-05-31T22:17:30Z</dcterms:modified>
</cp:coreProperties>
</file>